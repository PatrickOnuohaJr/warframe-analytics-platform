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96a347dd3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bea5abb1f0c4e58"/>
    <x:sheet xmlns:r="http://schemas.openxmlformats.org/officeDocument/2006/relationships" name="Review Queue" sheetId="2" r:id="Re01e69e5e3564ebb"/>
    <x:sheet xmlns:r="http://schemas.openxmlformats.org/officeDocument/2006/relationships" name="Field Diffs" sheetId="3" r:id="R9f9fe9d3d51b4a33"/>
    <x:sheet xmlns:r="http://schemas.openxmlformats.org/officeDocument/2006/relationships" name="Game Checks" sheetId="4" r:id="Rd33b1ab8d84d44ee"/>
    <x:sheet xmlns:r="http://schemas.openxmlformats.org/officeDocument/2006/relationships" name="Policy Decisions" sheetId="5" r:id="R67f6f5b9102248ff"/>
    <x:sheet xmlns:r="http://schemas.openxmlformats.org/officeDocument/2006/relationships" name="Promotion Gates" sheetId="6" r:id="Rf91420542e55424e"/>
    <x:sheet xmlns:r="http://schemas.openxmlformats.org/officeDocument/2006/relationships" name="Source &amp; Audit" sheetId="7" r:id="R158c6513bdf8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20"/>
      <x:color rgb="FFD8A44C"/>
      <x:name val="Cinzel"/>
    </x:font>
    <x:font>
      <x:sz val="10"/>
      <x:color rgb="FFF2E8D5"/>
      <x:name val="Aptos"/>
    </x:font>
    <x:font>
      <x:b/>
      <x:sz val="11"/>
      <x:color rgb="FFB8AA96"/>
      <x:name val="Carlito"/>
    </x:font>
    <x:font>
      <x:sz val="11"/>
      <x:color rgb="FFF2E8D5"/>
      <x:name val="Carlito"/>
    </x:font>
    <x:font>
      <x:b/>
      <x:sz val="18"/>
      <x:color rgb="FFD8A44C"/>
      <x:name val="Cinzel"/>
    </x:font>
    <x:font>
      <x:b/>
      <x:sz val="10"/>
      <x:color rgb="FFD8A44C"/>
      <x:name val="Aptos"/>
    </x:font>
    <x:font>
      <x:sz val="9"/>
      <x:color rgb="FF171411"/>
      <x:name val="Aptos"/>
    </x:font>
    <x:font>
      <x:b/>
      <x:sz val="11"/>
      <x:color rgb="FFF5D9D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1411"/>
      </x:patternFill>
    </x:fill>
    <x:fill>
      <x:patternFill patternType="solid">
        <x:fgColor rgb="FF241F1A"/>
      </x:patternFill>
    </x:fill>
    <x:fill>
      <x:patternFill patternType="solid">
        <x:fgColor rgb="FF332A22"/>
      </x:patternFill>
    </x:fill>
    <x:fill>
      <x:patternFill patternType="solid">
        <x:fgColor rgb="FFFFFFFF"/>
      </x:patternFill>
    </x:fill>
    <x:fill>
      <x:patternFill patternType="solid">
        <x:fgColor rgb="FF3B201D"/>
      </x:patternFill>
    </x:fill>
  </x:fills>
  <x:borders count="15">
    <x:border/>
    <x:border>
      <x:left style="medium">
        <x:color rgb="FF6E5A45"/>
      </x:left>
      <x:top style="medium">
        <x:color rgb="FF6E5A45"/>
      </x:top>
      <x:bottom style="medium">
        <x:color rgb="FF6E5A45"/>
      </x:bottom>
    </x:border>
    <x:border>
      <x:top style="medium">
        <x:color rgb="FF6E5A45"/>
      </x:top>
      <x:bottom style="medium">
        <x:color rgb="FF6E5A45"/>
      </x:bottom>
    </x:border>
    <x:border>
      <x:right style="medium">
        <x:color rgb="FF6E5A45"/>
      </x:right>
      <x:top style="medium">
        <x:color rgb="FF6E5A45"/>
      </x:top>
      <x:bottom style="medium">
        <x:color rgb="FF6E5A45"/>
      </x:bottom>
    </x:border>
    <x:border>
      <x:bottom style="thin">
        <x:color rgb="FFE3DDD5"/>
      </x:bottom>
    </x:border>
    <x:border>
      <x:top style="thin">
        <x:color rgb="FFE3DDD5"/>
      </x:top>
      <x:bottom style="thin">
        <x:color rgb="FFE3DDD5"/>
      </x:bottom>
    </x:border>
    <x:border>
      <x:top style="thin">
        <x:color rgb="FFE3DDD5"/>
      </x:top>
    </x:border>
    <x:border>
      <x:left style="medium">
        <x:color rgb="FFA74337"/>
      </x:left>
      <x:top style="medium">
        <x:color rgb="FFA74337"/>
      </x:top>
    </x:border>
    <x:border>
      <x:top style="medium">
        <x:color rgb="FFA74337"/>
      </x:top>
    </x:border>
    <x:border>
      <x:right style="medium">
        <x:color rgb="FFA74337"/>
      </x:right>
      <x:top style="medium">
        <x:color rgb="FFA74337"/>
      </x:top>
    </x:border>
    <x:border>
      <x:left style="medium">
        <x:color rgb="FFA74337"/>
      </x:left>
    </x:border>
    <x:border>
      <x:right style="medium">
        <x:color rgb="FFA74337"/>
      </x:right>
    </x:border>
    <x:border>
      <x:left style="medium">
        <x:color rgb="FFA74337"/>
      </x:left>
      <x:bottom style="medium">
        <x:color rgb="FFA74337"/>
      </x:bottom>
    </x:border>
    <x:border>
      <x:bottom style="medium">
        <x:color rgb="FFA74337"/>
      </x:bottom>
    </x:border>
    <x:border>
      <x:right style="medium">
        <x:color rgb="FFA74337"/>
      </x:right>
      <x:bottom style="medium">
        <x:color rgb="FFA74337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4" xfId="0" applyNumberFormat="1" applyFont="1" applyFill="1" applyBorder="1" applyAlignment="1">
      <x:alignment vertical="top"/>
    </x:xf>
    <x:xf numFmtId="0" fontId="7" fillId="5" borderId="5" xfId="0" applyNumberFormat="1" applyFont="1" applyFill="1" applyBorder="1" applyAlignment="1">
      <x:alignment vertical="top"/>
    </x:xf>
    <x:xf numFmtId="0" fontId="7" fillId="5" borderId="6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200" fontId="7" fillId="5" borderId="4" xfId="0" applyNumberFormat="1" applyFont="1" applyFill="1" applyBorder="1" applyAlignment="1">
      <x:alignment vertical="top"/>
    </x:xf>
    <x:xf numFmtId="200" fontId="7" fillId="5" borderId="5" xfId="0" applyNumberFormat="1" applyFont="1" applyFill="1" applyBorder="1" applyAlignment="1">
      <x:alignment vertical="top"/>
    </x:xf>
    <x:xf numFmtId="200" fontId="7" fillId="5" borderId="6" xfId="0" applyNumberFormat="1" applyFont="1" applyFill="1" applyBorder="1" applyAlignment="1">
      <x:alignment vertical="top"/>
    </x:xf>
  </x:cellXfs>
  <x:cellStyles count="1">
    <x:cellStyle name="Normal" xfId="0"/>
  </x:cellStyles>
  <x:dxfs count="24">
    <x:dxf>
      <x:font>
        <x:b/>
        <x:color rgb="FF245B52"/>
      </x:font>
      <x:fill>
        <x:patternFill patternType="solid">
          <x:bgColor rgb="FFDDEEEA"/>
        </x:patternFill>
      </x:fill>
    </x:dxf>
    <x:dxf>
      <x:font>
        <x:b/>
        <x:color rgb="FF8D342C"/>
      </x:font>
      <x:fill>
        <x:patternFill patternType="solid">
          <x:bgColor rgb="FFF7DFDA"/>
        </x:patternFill>
      </x:fill>
    </x:dxf>
    <x:dxf>
      <x:font>
        <x:b/>
        <x:color rgb="FF80551F"/>
      </x:font>
      <x:fill>
        <x:patternFill patternType="solid">
          <x:bgColor rgb="FFF5E7C8"/>
        </x:patternFill>
      </x:fill>
    </x:dxf>
    <x:dxf>
      <x:font>
        <x:color rgb="FF685C4C"/>
      </x:font>
      <x:fill>
        <x:patternFill patternType="solid">
          <x:bgColor rgb="FFEFEAE3"/>
        </x:patternFill>
      </x:fill>
    </x:dxf>
    <x:dxf>
      <x:font>
        <x:b/>
        <x:color rgb="FFA74337"/>
      </x:font>
      <x:fill>
        <x:patternFill patternType="solid">
          <x:bgColor rgb="FFF5D9D4"/>
        </x:patternFill>
      </x:fill>
    </x:dxf>
    <x:dxf>
      <x:font>
        <x:b/>
        <x:color rgb="FF80551F"/>
      </x:font>
      <x:fill>
        <x:patternFill patternType="solid">
          <x:bgColor rgb="FFF5E7C8"/>
        </x:patternFill>
      </x:fill>
    </x:dxf>
    <x:dxf>
      <x:font>
        <x:b/>
        <x:color rgb="FF476F8E"/>
      </x:font>
      <x:fill>
        <x:patternFill patternType="solid">
          <x:bgColor rgb="FFE0EAF0"/>
        </x:patternFill>
      </x:fill>
    </x:dxf>
    <x:dxf>
      <x:font>
        <x:b/>
        <x:color rgb="FF387C72"/>
      </x:font>
      <x:fill>
        <x:patternFill patternType="solid">
          <x:bgColor rgb="FFDDEEEA"/>
        </x:patternFill>
      </x:fill>
    </x:dxf>
    <x:dxf>
      <x:font>
        <x:b/>
        <x:color rgb="FF245B52"/>
      </x:font>
      <x:fill>
        <x:patternFill patternType="solid">
          <x:bgColor rgb="FFDDEEEA"/>
        </x:patternFill>
      </x:fill>
    </x:dxf>
    <x:dxf>
      <x:font>
        <x:b/>
        <x:color rgb="FF8D342C"/>
      </x:font>
      <x:fill>
        <x:patternFill patternType="solid">
          <x:bgColor rgb="FFF7DFDA"/>
        </x:patternFill>
      </x:fill>
    </x:dxf>
    <x:dxf>
      <x:font>
        <x:b/>
        <x:color rgb="FF80551F"/>
      </x:font>
      <x:fill>
        <x:patternFill patternType="solid">
          <x:bgColor rgb="FFF5E7C8"/>
        </x:patternFill>
      </x:fill>
    </x:dxf>
    <x:dxf>
      <x:font>
        <x:color rgb="FF685C4C"/>
      </x:font>
      <x:fill>
        <x:patternFill patternType="solid">
          <x:bgColor rgb="FFEFEAE3"/>
        </x:patternFill>
      </x:fill>
    </x:dxf>
    <x:dxf>
      <x:font>
        <x:b/>
        <x:color rgb="FF245B52"/>
      </x:font>
      <x:fill>
        <x:patternFill patternType="solid">
          <x:bgColor rgb="FFDDEEEA"/>
        </x:patternFill>
      </x:fill>
    </x:dxf>
    <x:dxf>
      <x:font>
        <x:b/>
        <x:color rgb="FF8D342C"/>
      </x:font>
      <x:fill>
        <x:patternFill patternType="solid">
          <x:bgColor rgb="FFF7DFDA"/>
        </x:patternFill>
      </x:fill>
    </x:dxf>
    <x:dxf>
      <x:font>
        <x:b/>
        <x:color rgb="FF80551F"/>
      </x:font>
      <x:fill>
        <x:patternFill patternType="solid">
          <x:bgColor rgb="FFF5E7C8"/>
        </x:patternFill>
      </x:fill>
    </x:dxf>
    <x:dxf>
      <x:font>
        <x:color rgb="FF685C4C"/>
      </x:font>
      <x:fill>
        <x:patternFill patternType="solid">
          <x:bgColor rgb="FFEFEAE3"/>
        </x:patternFill>
      </x:fill>
    </x:dxf>
    <x:dxf>
      <x:font>
        <x:b/>
        <x:color rgb="FF245B52"/>
      </x:font>
      <x:fill>
        <x:patternFill patternType="solid">
          <x:bgColor rgb="FFDDEEEA"/>
        </x:patternFill>
      </x:fill>
    </x:dxf>
    <x:dxf>
      <x:font>
        <x:b/>
        <x:color rgb="FF8D342C"/>
      </x:font>
      <x:fill>
        <x:patternFill patternType="solid">
          <x:bgColor rgb="FFF7DFDA"/>
        </x:patternFill>
      </x:fill>
    </x:dxf>
    <x:dxf>
      <x:font>
        <x:b/>
        <x:color rgb="FF80551F"/>
      </x:font>
      <x:fill>
        <x:patternFill patternType="solid">
          <x:bgColor rgb="FFF5E7C8"/>
        </x:patternFill>
      </x:fill>
    </x:dxf>
    <x:dxf>
      <x:font>
        <x:color rgb="FF685C4C"/>
      </x:font>
      <x:fill>
        <x:patternFill patternType="solid">
          <x:bgColor rgb="FFEFEAE3"/>
        </x:patternFill>
      </x:fill>
    </x:dxf>
    <x:dxf>
      <x:font>
        <x:b/>
        <x:color rgb="FF245B52"/>
      </x:font>
      <x:fill>
        <x:patternFill patternType="solid">
          <x:bgColor rgb="FFDDEEEA"/>
        </x:patternFill>
      </x:fill>
    </x:dxf>
    <x:dxf>
      <x:font>
        <x:b/>
        <x:color rgb="FF8D342C"/>
      </x:font>
      <x:fill>
        <x:patternFill patternType="solid">
          <x:bgColor rgb="FFF7DFDA"/>
        </x:patternFill>
      </x:fill>
    </x:dxf>
    <x:dxf>
      <x:font>
        <x:b/>
        <x:color rgb="FF80551F"/>
      </x:font>
      <x:fill>
        <x:patternFill patternType="solid">
          <x:bgColor rgb="FFF5E7C8"/>
        </x:patternFill>
      </x:fill>
    </x:dxf>
    <x:dxf>
      <x:font>
        <x:color rgb="FF685C4C"/>
      </x:font>
      <x:fill>
        <x:patternFill patternType="solid">
          <x:bgColor rgb="FFEFEA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0fb3d63464ab5" /><Relationship Type="http://schemas.openxmlformats.org/officeDocument/2006/relationships/theme" Target="/xl/theme/theme1.xml" Id="R84bffa391b634d8e" /><Relationship Type="http://schemas.openxmlformats.org/officeDocument/2006/relationships/sharedStrings" Target="/xl/sharedStrings.xml" Id="R452d75cce07f4c73" /><Relationship Type="http://schemas.openxmlformats.org/officeDocument/2006/relationships/worksheet" Target="/xl/worksheets/sheet1.xml" Id="R9bea5abb1f0c4e58" /><Relationship Type="http://schemas.openxmlformats.org/officeDocument/2006/relationships/worksheet" Target="/xl/worksheets/sheet2.xml" Id="Re01e69e5e3564ebb" /><Relationship Type="http://schemas.openxmlformats.org/officeDocument/2006/relationships/worksheet" Target="/xl/worksheets/sheet3.xml" Id="R9f9fe9d3d51b4a33" /><Relationship Type="http://schemas.openxmlformats.org/officeDocument/2006/relationships/worksheet" Target="/xl/worksheets/sheet4.xml" Id="Rd33b1ab8d84d44ee" /><Relationship Type="http://schemas.openxmlformats.org/officeDocument/2006/relationships/worksheet" Target="/xl/worksheets/sheet5.xml" Id="R67f6f5b9102248ff" /><Relationship Type="http://schemas.openxmlformats.org/officeDocument/2006/relationships/worksheet" Target="/xl/worksheets/sheet6.xml" Id="Rf91420542e55424e" /><Relationship Type="http://schemas.openxmlformats.org/officeDocument/2006/relationships/worksheet" Target="/xl/worksheets/sheet7.xml" Id="R158c6513bdf8427c" /></Relationships>
</file>

<file path=xl/tables/table1.xml><?xml version="1.0" encoding="utf-8"?>
<x:table xmlns:x="http://schemas.openxmlformats.org/spreadsheetml/2006/main" id="1" name="ArcaneReviewQueue" displayName="ArcaneReviewQueue" ref="A7:Y181" headerRowCount="1" totalsRowCount="0" totalsRowShown="0">
  <x:tableColumns count="25">
    <x:tableColumn id="1" name="Review ID"/>
    <x:tableColumn id="2" name="Priority"/>
    <x:tableColumn id="3" name="Game Check"/>
    <x:tableColumn id="4" name="Bucket"/>
    <x:tableColumn id="5" name="Match Method"/>
    <x:tableColumn id="6" name="Canonical ID"/>
    <x:tableColumn id="7" name="Gu Name"/>
    <x:tableColumn id="8" name="WFCD Name"/>
    <x:tableColumn id="9" name="WFCD uniqueName"/>
    <x:tableColumn id="10" name="WFCD Validation"/>
    <x:tableColumn id="11" name="Diff Fields"/>
    <x:tableColumn id="12" name="Field Differences"/>
    <x:tableColumn id="13" name="Suggested Action"/>
    <x:tableColumn id="14" name="Evidence Needed"/>
    <x:tableColumn id="15" name="Status"/>
    <x:tableColumn id="16" name="Final Disposition"/>
    <x:tableColumn id="17" name="Canonical Name Decision"/>
    <x:tableColumn id="18" name="Approved uniqueName / Alias"/>
    <x:tableColumn id="19" name="Reviewer Notes"/>
    <x:tableColumn id="20" name="Evidence Link / Screenshot"/>
    <x:tableColumn id="21" name="Reviewed By"/>
    <x:tableColumn id="22" name="Reviewed Date"/>
    <x:tableColumn id="23" name="Resolved?"/>
    <x:tableColumn id="24" name="Pinned Source URL"/>
    <x:tableColumn id="25" name="Reconciliation Run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aneFieldDiffs" displayName="ArcaneFieldDiffs" ref="A7:J651" headerRowCount="1" totalsRowCount="0" totalsRowShown="0">
  <x:tableColumns count="10">
    <x:tableColumn id="1" name="Review ID"/>
    <x:tableColumn id="2" name="Priority"/>
    <x:tableColumn id="3" name="Gu Name"/>
    <x:tableColumn id="4" name="WFCD Name"/>
    <x:tableColumn id="5" name="Field"/>
    <x:tableColumn id="6" name="Gu Value"/>
    <x:tableColumn id="7" name="WFCD Value"/>
    <x:tableColumn id="8" name="Context / Reason"/>
    <x:tableColumn id="9" name="Field Decision"/>
    <x:tableColumn id="10" name="Reviewer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caneGameChecks" displayName="ArcaneGameChecks" ref="A7:P35" headerRowCount="1" totalsRowCount="0" totalsRowShown="0">
  <x:tableColumns count="16">
    <x:tableColumn id="1" name="Review ID"/>
    <x:tableColumn id="2" name="Priority"/>
    <x:tableColumn id="3" name="Gu Name"/>
    <x:tableColumn id="4" name="WFCD Name"/>
    <x:tableColumn id="5" name="Bucket"/>
    <x:tableColumn id="6" name="Why Check"/>
    <x:tableColumn id="7" name="Game Build / Date"/>
    <x:tableColumn id="8" name="Check Status"/>
    <x:tableColumn id="9" name="Exact Displayed Name"/>
    <x:tableColumn id="10" name="Player-Facing?"/>
    <x:tableColumn id="11" name="Equipment Type"/>
    <x:tableColumn id="12" name="Max Rank"/>
    <x:tableColumn id="13" name="Rarity"/>
    <x:tableColumn id="14" name="Rank 0 Text"/>
    <x:tableColumn id="15" name="Max Rank Text"/>
    <x:tableColumn id="16" name="Screenshot /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canePolicyDecisions" displayName="ArcanePolicyDecisions" ref="A7:F20" headerRowCount="1" totalsRowCount="0" totalsRowShown="0">
  <x:tableColumns count="6">
    <x:tableColumn id="1" name="Policy Area"/>
    <x:tableColumn id="2" name="Decision Question"/>
    <x:tableColumn id="3" name="Recommended Default"/>
    <x:tableColumn id="4" name="Owner Decision"/>
    <x:tableColumn id="5" name="Status"/>
    <x:tableColumn id="6" name="Notes / Rationa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canePromotionGates" displayName="ArcanePromotionGates" ref="A7:D15" headerRowCount="1" totalsRowCount="0" totalsRowShown="0">
  <x:tableColumns count="4">
    <x:tableColumn id="1" name="Gate"/>
    <x:tableColumn id="2" name="Requirement"/>
    <x:tableColumn id="3" name="Status"/>
    <x:tableColumn id="4" name="Evidence / 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a44ee0507e49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48a69b370240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8ba50ba49a4e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78e446a1c346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4c647d0f644c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" hidden="0" customWidth="1"/>
    <x:col min="3" max="3" width="25" hidden="0" customWidth="1"/>
    <x:col min="4" max="4" width="32" hidden="0" customWidth="1"/>
    <x:col min="5" max="5" width="8" hidden="0" customWidth="1"/>
    <x:col min="6" max="6" width="10" hidden="0" customWidth="1"/>
    <x:col min="7" max="7" width="40" hidden="0" customWidth="1"/>
    <x:col min="8" max="8" width="38" hidden="0" customWidth="1"/>
  </x:cols>
  <x:sheetData>
    <x:row r="1" ht="28" customHeight="1">
      <x:c r="A1" s="3" t="str">
        <x:v>ARCANE RECONCILIATION — REVIEW PACKET</x:v>
      </x:c>
      <x:c r="B1" s="3" t="str">
        <x:v>ARCANE RECONCILIATION — REVIEW PACKET</x:v>
      </x:c>
      <x:c r="C1" s="3" t="str">
        <x:v>ARCANE RECONCILIATION — REVIEW PACKET</x:v>
      </x:c>
      <x:c r="D1" s="3" t="str">
        <x:v>ARCANE RECONCILIATION — REVIEW PACKET</x:v>
      </x:c>
      <x:c r="E1" s="3" t="str">
        <x:v>ARCANE RECONCILIATION — REVIEW PACKET</x:v>
      </x:c>
      <x:c r="F1" s="3" t="str">
        <x:v>ARCANE RECONCILIATION — REVIEW PACKET</x:v>
      </x:c>
      <x:c r="G1" s="3" t="str">
        <x:v>ARCANE RECONCILIATION — REVIEW PACKET</x:v>
      </x:c>
      <x:c r="H1" s="3" t="str">
        <x:v>ARCANE RECONCILIATION — REVIEW PACKET</x:v>
      </x:c>
    </x:row>
    <x:row r="2" ht="28" customHeight="1">
      <x:c r="A2" s="3" t="str">
        <x:v>ARCANE RECONCILIATION — REVIEW PACKET</x:v>
      </x:c>
      <x:c r="B2" s="3" t="str">
        <x:v>ARCANE RECONCILIATION — REVIEW PACKET</x:v>
      </x:c>
      <x:c r="C2" s="3" t="str">
        <x:v>ARCANE RECONCILIATION — REVIEW PACKET</x:v>
      </x:c>
      <x:c r="D2" s="3" t="str">
        <x:v>ARCANE RECONCILIATION — REVIEW PACKET</x:v>
      </x:c>
      <x:c r="E2" s="3" t="str">
        <x:v>ARCANE RECONCILIATION — REVIEW PACKET</x:v>
      </x:c>
      <x:c r="F2" s="3" t="str">
        <x:v>ARCANE RECONCILIATION — REVIEW PACKET</x:v>
      </x:c>
      <x:c r="G2" s="3" t="str">
        <x:v>ARCANE RECONCILIATION — REVIEW PACKET</x:v>
      </x:c>
      <x:c r="H2" s="3" t="str">
        <x:v>ARCANE RECONCILIATION — REVIEW PACKET</x:v>
      </x:c>
    </x:row>
    <x:row r="3" ht="26" customHeight="1">
      <x:c r="A3" s="7" t="str">
        <x:v>Decision workbook for the immutable WFCD snapshot already committed to staging. Work from P0 to P2. Do not promote canonical values from this workbook alone.</x:v>
      </x:c>
      <x:c r="B3" s="7" t="str">
        <x:v>Decision workbook for the immutable WFCD snapshot already committed to staging. Work from P0 to P2. Do not promote canonical values from this workbook alone.</x:v>
      </x:c>
      <x:c r="C3" s="7" t="str">
        <x:v>Decision workbook for the immutable WFCD snapshot already committed to staging. Work from P0 to P2. Do not promote canonical values from this workbook alone.</x:v>
      </x:c>
      <x:c r="D3" s="7" t="str">
        <x:v>Decision workbook for the immutable WFCD snapshot already committed to staging. Work from P0 to P2. Do not promote canonical values from this workbook alone.</x:v>
      </x:c>
      <x:c r="E3" s="7" t="str">
        <x:v>Decision workbook for the immutable WFCD snapshot already committed to staging. Work from P0 to P2. Do not promote canonical values from this workbook alone.</x:v>
      </x:c>
      <x:c r="F3" s="7" t="str">
        <x:v>Decision workbook for the immutable WFCD snapshot already committed to staging. Work from P0 to P2. Do not promote canonical values from this workbook alone.</x:v>
      </x:c>
      <x:c r="G3" s="7" t="str">
        <x:v>Decision workbook for the immutable WFCD snapshot already committed to staging. Work from P0 to P2. Do not promote canonical values from this workbook alone.</x:v>
      </x:c>
      <x:c r="H3" s="7" t="str">
        <x:v>Decision workbook for the immutable WFCD snapshot already committed to staging. Work from P0 to P2. Do not promote canonical values from this workbook alone.</x:v>
      </x:c>
    </x:row>
    <x:row r="4" ht="26" customHeight="1">
      <x:c r="A4" s="7" t="str">
        <x:v>Decision workbook for the immutable WFCD snapshot already committed to staging. Work from P0 to P2. Do not promote canonical values from this workbook alone.</x:v>
      </x:c>
      <x:c r="B4" s="7" t="str">
        <x:v>Decision workbook for the immutable WFCD snapshot already committed to staging. Work from P0 to P2. Do not promote canonical values from this workbook alone.</x:v>
      </x:c>
      <x:c r="C4" s="7" t="str">
        <x:v>Decision workbook for the immutable WFCD snapshot already committed to staging. Work from P0 to P2. Do not promote canonical values from this workbook alone.</x:v>
      </x:c>
      <x:c r="D4" s="7" t="str">
        <x:v>Decision workbook for the immutable WFCD snapshot already committed to staging. Work from P0 to P2. Do not promote canonical values from this workbook alone.</x:v>
      </x:c>
      <x:c r="E4" s="7" t="str">
        <x:v>Decision workbook for the immutable WFCD snapshot already committed to staging. Work from P0 to P2. Do not promote canonical values from this workbook alone.</x:v>
      </x:c>
      <x:c r="F4" s="7" t="str">
        <x:v>Decision workbook for the immutable WFCD snapshot already committed to staging. Work from P0 to P2. Do not promote canonical values from this workbook alone.</x:v>
      </x:c>
      <x:c r="G4" s="7" t="str">
        <x:v>Decision workbook for the immutable WFCD snapshot already committed to staging. Work from P0 to P2. Do not promote canonical values from this workbook alone.</x:v>
      </x:c>
      <x:c r="H4" s="7" t="str">
        <x:v>Decision workbook for the immutable WFCD snapshot already committed to staging. Work from P0 to P2. Do not promote canonical values from this workbook alone.</x:v>
      </x:c>
    </x:row>
    <x:row r="6">
      <x:c r="A6" s="10" t="str">
        <x:v>TOTAL REVIEW ITEMS</x:v>
      </x:c>
      <x:c r="B6" s="10" t="str"/>
      <x:c r="C6" s="10" t="str">
        <x:v>OPEN ITEMS</x:v>
      </x:c>
      <x:c r="D6" s="10" t="str"/>
      <x:c r="E6" s="10" t="str">
        <x:v>REQUIRED GAME CHECKS</x:v>
      </x:c>
      <x:c r="F6" s="10" t="str"/>
      <x:c r="G6" s="10" t="str">
        <x:v>RESOLVED FOR PROMOTION</x:v>
      </x:c>
      <x:c r="H6" s="10" t="str"/>
    </x:row>
    <x:row r="7">
      <x:c r="A7" s="14" t="n">
        <x:f>COUNTA('Review Queue'!$A$8:$A$181)</x:f>
        <x:v>174</x:v>
      </x:c>
      <x:c r="B7" s="14"/>
      <x:c r="C7" s="14" t="n">
        <x:f>COUNTIF('Review Queue'!$O$8:$O$181,"&lt;&gt;COMPLETE")</x:f>
        <x:v>174</x:v>
      </x:c>
      <x:c r="D7" s="14"/>
      <x:c r="E7" s="14" t="n">
        <x:f>COUNTIF('Review Queue'!$C$8:$C$181,"YES")</x:f>
        <x:v>28</x:v>
      </x:c>
      <x:c r="F7" s="14"/>
      <x:c r="G7" s="14" t="n">
        <x:f>COUNTIF('Review Queue'!$W$8:$W$181,"YES")</x:f>
        <x:v>0</x:v>
      </x:c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10" ht="34" customHeight="1">
      <x:c r="A10" s="22" t="str">
        <x:v>BUCKET</x:v>
      </x:c>
      <x:c r="B10" s="23" t="str">
        <x:v>COUNT</x:v>
      </x:c>
      <x:c r="C10" s="23" t="str">
        <x:v>WHAT IT MEANS</x:v>
      </x:c>
      <x:c r="D10" s="24" t="str">
        <x:v>FIRST ACTION</x:v>
      </x:c>
      <x:c r="F10" s="22" t="str">
        <x:v>ORDER</x:v>
      </x:c>
      <x:c r="G10" s="23" t="str">
        <x:v>DO THIS</x:v>
      </x:c>
      <x:c r="H10" s="24" t="str">
        <x:v>STOP CONDITION</x:v>
      </x:c>
    </x:row>
    <x:row r="11">
      <x:c r="A11" s="30" t="str">
        <x:v>MANUAL_REVIEW</x:v>
      </x:c>
      <x:c r="B11" s="30" t="n">
        <x:f>COUNTIF('Review Queue'!$D$8:$D$181,A11)</x:f>
        <x:v>1</x:v>
      </x:c>
      <x:c r="C11" s="30" t="str">
        <x:v>Ambiguous identity</x:v>
      </x:c>
      <x:c r="D11" s="30" t="str">
        <x:v>Resolve before any batch approval</x:v>
      </x:c>
      <x:c r="F11" s="30" t="n">
        <x:v>1</x:v>
      </x:c>
      <x:c r="G11" s="30" t="str">
        <x:v>Filter Review Queue to P0 and Game Check = YES.</x:v>
      </x:c>
      <x:c r="H11" s="30" t="str">
        <x:v>P0 evidence captured</x:v>
      </x:c>
    </x:row>
    <x:row r="12">
      <x:c r="A12" s="31" t="str">
        <x:v>GU_MISSING</x:v>
      </x:c>
      <x:c r="B12" s="31" t="n">
        <x:f>COUNTIF('Review Queue'!$D$8:$D$181,A12)</x:f>
        <x:v>13</x:v>
      </x:c>
      <x:c r="C12" s="31" t="str">
        <x:v>Upstream-only candidate</x:v>
      </x:c>
      <x:c r="D12" s="31" t="str">
        <x:v>Verify player-facing existence</x:v>
      </x:c>
      <x:c r="F12" s="31" t="n">
        <x:v>2</x:v>
      </x:c>
      <x:c r="G12" s="31" t="str">
        <x:v>Complete the focused Game Checks sheet.</x:v>
      </x:c>
      <x:c r="H12" s="31" t="str">
        <x:v>No required check remains NOT_CHECKED</x:v>
      </x:c>
    </x:row>
    <x:row r="13">
      <x:c r="A13" s="31" t="str">
        <x:v>GU_EXTRA</x:v>
      </x:c>
      <x:c r="B13" s="31" t="n">
        <x:f>COUNTIF('Review Queue'!$D$8:$D$181,A13)</x:f>
        <x:v>6</x:v>
      </x:c>
      <x:c r="C13" s="31" t="str">
        <x:v>Gu-only row</x:v>
      </x:c>
      <x:c r="D13" s="31" t="str">
        <x:v>Verify current family/status</x:v>
      </x:c>
      <x:c r="F13" s="31" t="n">
        <x:v>3</x:v>
      </x:c>
      <x:c r="G13" s="31" t="str">
        <x:v>Resolve Field Diffs and enter a final disposition.</x:v>
      </x:c>
      <x:c r="H13" s="31" t="str">
        <x:v>Every canonical row has a disposition</x:v>
      </x:c>
    </x:row>
    <x:row r="14">
      <x:c r="A14" s="31" t="str">
        <x:v>VALUE_MISMATCH</x:v>
      </x:c>
      <x:c r="B14" s="31" t="n">
        <x:f>COUNTIF('Review Queue'!$D$8:$D$181,A14)</x:f>
        <x:v>154</x:v>
      </x:c>
      <x:c r="C14" s="31" t="str">
        <x:v>Matched identity; fields differ</x:v>
      </x:c>
      <x:c r="D14" s="31" t="str">
        <x:v>Review P0 exceptions, then batch-safe fields</x:v>
      </x:c>
      <x:c r="F14" s="31" t="n">
        <x:v>4</x:v>
      </x:c>
      <x:c r="G14" s="31" t="str">
        <x:v>Decide the Policy Decisions sheet.</x:v>
      </x:c>
      <x:c r="H14" s="31" t="str">
        <x:v>No owner policy remains UNDECIDED</x:v>
      </x:c>
    </x:row>
    <x:row r="15">
      <x:c r="A15" s="32" t="str">
        <x:v>MATCH</x:v>
      </x:c>
      <x:c r="B15" s="32" t="n">
        <x:f>COUNTIF('Review Queue'!$D$8:$D$181,A15)</x:f>
        <x:v>0</x:v>
      </x:c>
      <x:c r="C15" s="32" t="str">
        <x:v>No differences</x:v>
      </x:c>
      <x:c r="D15" s="32" t="str">
        <x:v>No action</x:v>
      </x:c>
      <x:c r="F15" s="31" t="n">
        <x:v>5</x:v>
      </x:c>
      <x:c r="G15" s="31" t="str">
        <x:v>Review Promotion Gates.</x:v>
      </x:c>
      <x:c r="H15" s="31" t="str">
        <x:v>Only owner-approval and execution gates remain</x:v>
      </x:c>
    </x:row>
    <x:row r="16">
      <x:c r="F16" s="32" t="n">
        <x:v>6</x:v>
      </x:c>
      <x:c r="G16" s="32" t="str">
        <x:v>Generate a separate promotion manifest and SQL.</x:v>
      </x:c>
      <x:c r="H16" s="32" t="str">
        <x:v>Owner approves exact changes</x:v>
      </x:c>
    </x:row>
    <x:row r="18">
      <x:c r="A18" s="52" t="str">
        <x:v>CURRENT BOUNDARY — Staging is complete and canonical data is unchanged: 161 Arcane rows, zero promoted fields, and zero arcane_ranks. Record review decisions here; promotion remains a separate transaction and approval.</x:v>
      </x:c>
      <x:c r="B18" s="53" t="str">
        <x:v>CURRENT BOUNDARY — Staging is complete and canonical data is unchanged: 161 Arcane rows, zero promoted fields, and zero arcane_ranks. Record review decisions here; promotion remains a separate transaction and approval.</x:v>
      </x:c>
      <x:c r="C18" s="53" t="str">
        <x:v>CURRENT BOUNDARY — Staging is complete and canonical data is unchanged: 161 Arcane rows, zero promoted fields, and zero arcane_ranks. Record review decisions here; promotion remains a separate transaction and approval.</x:v>
      </x:c>
      <x:c r="D18" s="53" t="str">
        <x:v>CURRENT BOUNDARY — Staging is complete and canonical data is unchanged: 161 Arcane rows, zero promoted fields, and zero arcane_ranks. Record review decisions here; promotion remains a separate transaction and approval.</x:v>
      </x:c>
      <x:c r="E18" s="53" t="str">
        <x:v>CURRENT BOUNDARY — Staging is complete and canonical data is unchanged: 161 Arcane rows, zero promoted fields, and zero arcane_ranks. Record review decisions here; promotion remains a separate transaction and approval.</x:v>
      </x:c>
      <x:c r="F18" s="53" t="str">
        <x:v>CURRENT BOUNDARY — Staging is complete and canonical data is unchanged: 161 Arcane rows, zero promoted fields, and zero arcane_ranks. Record review decisions here; promotion remains a separate transaction and approval.</x:v>
      </x:c>
      <x:c r="G18" s="53" t="str">
        <x:v>CURRENT BOUNDARY — Staging is complete and canonical data is unchanged: 161 Arcane rows, zero promoted fields, and zero arcane_ranks. Record review decisions here; promotion remains a separate transaction and approval.</x:v>
      </x:c>
      <x:c r="H18" s="54" t="str">
        <x:v>CURRENT BOUNDARY — Staging is complete and canonical data is unchanged: 161 Arcane rows, zero promoted fields, and zero arcane_ranks. Record review decisions here; promotion remains a separate transaction and approval.</x:v>
      </x:c>
    </x:row>
    <x:row r="19">
      <x:c r="A19" s="55" t="str">
        <x:v>CURRENT BOUNDARY — Staging is complete and canonical data is unchanged: 161 Arcane rows, zero promoted fields, and zero arcane_ranks. Record review decisions here; promotion remains a separate transaction and approval.</x:v>
      </x:c>
      <x:c r="B19" s="56" t="str">
        <x:v>CURRENT BOUNDARY — Staging is complete and canonical data is unchanged: 161 Arcane rows, zero promoted fields, and zero arcane_ranks. Record review decisions here; promotion remains a separate transaction and approval.</x:v>
      </x:c>
      <x:c r="C19" s="56" t="str">
        <x:v>CURRENT BOUNDARY — Staging is complete and canonical data is unchanged: 161 Arcane rows, zero promoted fields, and zero arcane_ranks. Record review decisions here; promotion remains a separate transaction and approval.</x:v>
      </x:c>
      <x:c r="D19" s="56" t="str">
        <x:v>CURRENT BOUNDARY — Staging is complete and canonical data is unchanged: 161 Arcane rows, zero promoted fields, and zero arcane_ranks. Record review decisions here; promotion remains a separate transaction and approval.</x:v>
      </x:c>
      <x:c r="E19" s="56" t="str">
        <x:v>CURRENT BOUNDARY — Staging is complete and canonical data is unchanged: 161 Arcane rows, zero promoted fields, and zero arcane_ranks. Record review decisions here; promotion remains a separate transaction and approval.</x:v>
      </x:c>
      <x:c r="F19" s="56" t="str">
        <x:v>CURRENT BOUNDARY — Staging is complete and canonical data is unchanged: 161 Arcane rows, zero promoted fields, and zero arcane_ranks. Record review decisions here; promotion remains a separate transaction and approval.</x:v>
      </x:c>
      <x:c r="G19" s="56" t="str">
        <x:v>CURRENT BOUNDARY — Staging is complete and canonical data is unchanged: 161 Arcane rows, zero promoted fields, and zero arcane_ranks. Record review decisions here; promotion remains a separate transaction and approval.</x:v>
      </x:c>
      <x:c r="H19" s="57" t="str">
        <x:v>CURRENT BOUNDARY — Staging is complete and canonical data is unchanged: 161 Arcane rows, zero promoted fields, and zero arcane_ranks. Record review decisions here; promotion remains a separate transaction and approval.</x:v>
      </x:c>
    </x:row>
    <x:row r="20">
      <x:c r="A20" s="58" t="str">
        <x:v>CURRENT BOUNDARY — Staging is complete and canonical data is unchanged: 161 Arcane rows, zero promoted fields, and zero arcane_ranks. Record review decisions here; promotion remains a separate transaction and approval.</x:v>
      </x:c>
      <x:c r="B20" s="59" t="str">
        <x:v>CURRENT BOUNDARY — Staging is complete and canonical data is unchanged: 161 Arcane rows, zero promoted fields, and zero arcane_ranks. Record review decisions here; promotion remains a separate transaction and approval.</x:v>
      </x:c>
      <x:c r="C20" s="59" t="str">
        <x:v>CURRENT BOUNDARY — Staging is complete and canonical data is unchanged: 161 Arcane rows, zero promoted fields, and zero arcane_ranks. Record review decisions here; promotion remains a separate transaction and approval.</x:v>
      </x:c>
      <x:c r="D20" s="59" t="str">
        <x:v>CURRENT BOUNDARY — Staging is complete and canonical data is unchanged: 161 Arcane rows, zero promoted fields, and zero arcane_ranks. Record review decisions here; promotion remains a separate transaction and approval.</x:v>
      </x:c>
      <x:c r="E20" s="59" t="str">
        <x:v>CURRENT BOUNDARY — Staging is complete and canonical data is unchanged: 161 Arcane rows, zero promoted fields, and zero arcane_ranks. Record review decisions here; promotion remains a separate transaction and approval.</x:v>
      </x:c>
      <x:c r="F20" s="59" t="str">
        <x:v>CURRENT BOUNDARY — Staging is complete and canonical data is unchanged: 161 Arcane rows, zero promoted fields, and zero arcane_ranks. Record review decisions here; promotion remains a separate transaction and approval.</x:v>
      </x:c>
      <x:c r="G20" s="59" t="str">
        <x:v>CURRENT BOUNDARY — Staging is complete and canonical data is unchanged: 161 Arcane rows, zero promoted fields, and zero arcane_ranks. Record review decisions here; promotion remains a separate transaction and approval.</x:v>
      </x:c>
      <x:c r="H20" s="60" t="str">
        <x:v>CURRENT BOUNDARY — Staging is complete and canonical data is unchanged: 161 Arcane rows, zero promoted fields, and zero arcane_ranks. Record review decisions here; promotion remains a separate transaction and approval.</x:v>
      </x:c>
    </x:row>
  </x:sheetData>
  <x:mergeCells>
    <x:mergeCell ref="A1:H2"/>
    <x:mergeCell ref="A3:H4"/>
    <x:mergeCell ref="A6:B6"/>
    <x:mergeCell ref="C6:D6"/>
    <x:mergeCell ref="E6:F6"/>
    <x:mergeCell ref="G6:H6"/>
    <x:mergeCell ref="A7:B8"/>
    <x:mergeCell ref="C7:D8"/>
    <x:mergeCell ref="E7:F8"/>
    <x:mergeCell ref="G7:H8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1" hidden="0" customWidth="1"/>
    <x:col min="4" max="4" width="16" hidden="0" customWidth="1"/>
    <x:col min="5" max="5" width="22" hidden="0" customWidth="1"/>
    <x:col min="6" max="6" width="12" hidden="0" customWidth="1"/>
    <x:col min="7" max="7" width="24" hidden="0" customWidth="1"/>
    <x:col min="8" max="8" width="24" hidden="0" customWidth="1"/>
    <x:col min="9" max="9" width="48" hidden="0" customWidth="1"/>
    <x:col min="10" max="10" width="22" hidden="0" customWidth="1"/>
    <x:col min="11" max="11" width="22" hidden="0" customWidth="1"/>
    <x:col min="12" max="12" width="60" hidden="0" customWidth="1"/>
    <x:col min="13" max="13" width="52" hidden="0" customWidth="1"/>
    <x:col min="14" max="14" width="46" hidden="0" customWidth="1"/>
    <x:col min="15" max="15" width="16" hidden="0" customWidth="1"/>
    <x:col min="16" max="16" width="22" hidden="0" customWidth="1"/>
    <x:col min="17" max="17" width="25" hidden="0" customWidth="1"/>
    <x:col min="18" max="18" width="48" hidden="0" customWidth="1"/>
    <x:col min="19" max="19" width="40" hidden="0" customWidth="1"/>
    <x:col min="20" max="20" width="42" hidden="0" customWidth="1"/>
    <x:col min="21" max="21" width="16" hidden="0" customWidth="1"/>
    <x:col min="22" max="22" width="14" hidden="0" customWidth="1"/>
    <x:col min="23" max="23" width="11" hidden="0" customWidth="1"/>
    <x:col min="24" max="24" width="54" hidden="0" customWidth="1"/>
    <x:col min="25" max="25" width="40" hidden="0" customWidth="1"/>
  </x:cols>
  <x:sheetData>
    <x:row r="1" ht="28" customHeight="1">
      <x:c r="A1" s="3" t="str">
        <x:v>REVIEW QUEUE</x:v>
      </x:c>
      <x:c r="B1" s="3" t="str">
        <x:v>REVIEW QUEUE</x:v>
      </x:c>
      <x:c r="C1" s="3" t="str">
        <x:v>REVIEW QUEUE</x:v>
      </x:c>
      <x:c r="D1" s="3" t="str">
        <x:v>REVIEW QUEUE</x:v>
      </x:c>
      <x:c r="E1" s="3" t="str">
        <x:v>REVIEW QUEUE</x:v>
      </x:c>
      <x:c r="F1" s="3" t="str">
        <x:v>REVIEW QUEUE</x:v>
      </x:c>
      <x:c r="G1" s="3" t="str">
        <x:v>REVIEW QUEUE</x:v>
      </x:c>
      <x:c r="H1" s="3" t="str">
        <x:v>REVIEW QUEUE</x:v>
      </x:c>
      <x:c r="I1" s="3" t="str">
        <x:v>REVIEW QUEUE</x:v>
      </x:c>
      <x:c r="J1" s="3" t="str">
        <x:v>REVIEW QUEUE</x:v>
      </x:c>
      <x:c r="K1" s="3" t="str">
        <x:v>REVIEW QUEUE</x:v>
      </x:c>
      <x:c r="L1" s="3" t="str">
        <x:v>REVIEW QUEUE</x:v>
      </x:c>
      <x:c r="M1" s="3" t="str">
        <x:v>REVIEW QUEUE</x:v>
      </x:c>
      <x:c r="N1" s="3" t="str">
        <x:v>REVIEW QUEUE</x:v>
      </x:c>
      <x:c r="O1" s="3" t="str">
        <x:v>REVIEW QUEUE</x:v>
      </x:c>
      <x:c r="P1" s="3" t="str">
        <x:v>REVIEW QUEUE</x:v>
      </x:c>
      <x:c r="Q1" s="3" t="str">
        <x:v>REVIEW QUEUE</x:v>
      </x:c>
      <x:c r="R1" s="3" t="str">
        <x:v>REVIEW QUEUE</x:v>
      </x:c>
      <x:c r="S1" s="3" t="str">
        <x:v>REVIEW QUEUE</x:v>
      </x:c>
      <x:c r="T1" s="3" t="str">
        <x:v>REVIEW QUEUE</x:v>
      </x:c>
      <x:c r="U1" s="3" t="str">
        <x:v>REVIEW QUEUE</x:v>
      </x:c>
      <x:c r="V1" s="3" t="str">
        <x:v>REVIEW QUEUE</x:v>
      </x:c>
      <x:c r="W1" s="3" t="str">
        <x:v>REVIEW QUEUE</x:v>
      </x:c>
      <x:c r="X1" s="3" t="str">
        <x:v>REVIEW QUEUE</x:v>
      </x:c>
      <x:c r="Y1" s="3" t="str">
        <x:v>REVIEW QUEUE</x:v>
      </x:c>
    </x:row>
    <x:row r="2" ht="28" customHeight="1">
      <x:c r="A2" s="3" t="str">
        <x:v>REVIEW QUEUE</x:v>
      </x:c>
      <x:c r="B2" s="3" t="str">
        <x:v>REVIEW QUEUE</x:v>
      </x:c>
      <x:c r="C2" s="3" t="str">
        <x:v>REVIEW QUEUE</x:v>
      </x:c>
      <x:c r="D2" s="3" t="str">
        <x:v>REVIEW QUEUE</x:v>
      </x:c>
      <x:c r="E2" s="3" t="str">
        <x:v>REVIEW QUEUE</x:v>
      </x:c>
      <x:c r="F2" s="3" t="str">
        <x:v>REVIEW QUEUE</x:v>
      </x:c>
      <x:c r="G2" s="3" t="str">
        <x:v>REVIEW QUEUE</x:v>
      </x:c>
      <x:c r="H2" s="3" t="str">
        <x:v>REVIEW QUEUE</x:v>
      </x:c>
      <x:c r="I2" s="3" t="str">
        <x:v>REVIEW QUEUE</x:v>
      </x:c>
      <x:c r="J2" s="3" t="str">
        <x:v>REVIEW QUEUE</x:v>
      </x:c>
      <x:c r="K2" s="3" t="str">
        <x:v>REVIEW QUEUE</x:v>
      </x:c>
      <x:c r="L2" s="3" t="str">
        <x:v>REVIEW QUEUE</x:v>
      </x:c>
      <x:c r="M2" s="3" t="str">
        <x:v>REVIEW QUEUE</x:v>
      </x:c>
      <x:c r="N2" s="3" t="str">
        <x:v>REVIEW QUEUE</x:v>
      </x:c>
      <x:c r="O2" s="3" t="str">
        <x:v>REVIEW QUEUE</x:v>
      </x:c>
      <x:c r="P2" s="3" t="str">
        <x:v>REVIEW QUEUE</x:v>
      </x:c>
      <x:c r="Q2" s="3" t="str">
        <x:v>REVIEW QUEUE</x:v>
      </x:c>
      <x:c r="R2" s="3" t="str">
        <x:v>REVIEW QUEUE</x:v>
      </x:c>
      <x:c r="S2" s="3" t="str">
        <x:v>REVIEW QUEUE</x:v>
      </x:c>
      <x:c r="T2" s="3" t="str">
        <x:v>REVIEW QUEUE</x:v>
      </x:c>
      <x:c r="U2" s="3" t="str">
        <x:v>REVIEW QUEUE</x:v>
      </x:c>
      <x:c r="V2" s="3" t="str">
        <x:v>REVIEW QUEUE</x:v>
      </x:c>
      <x:c r="W2" s="3" t="str">
        <x:v>REVIEW QUEUE</x:v>
      </x:c>
      <x:c r="X2" s="3" t="str">
        <x:v>REVIEW QUEUE</x:v>
      </x:c>
      <x:c r="Y2" s="3" t="str">
        <x:v>REVIEW QUEUE</x:v>
      </x:c>
    </x:row>
    <x:row r="3" ht="26" customHeight="1">
      <x:c r="A3" s="7" t="str">
        <x:v>174 immutable reconciliation items. Editable columns begin at Status. Filter Priority and Game Check first; one completed disposition resolves an item without changing canonical data.</x:v>
      </x:c>
      <x:c r="B3" s="7" t="str">
        <x:v>174 immutable reconciliation items. Editable columns begin at Status. Filter Priority and Game Check first; one completed disposition resolves an item without changing canonical data.</x:v>
      </x:c>
      <x:c r="C3" s="7" t="str">
        <x:v>174 immutable reconciliation items. Editable columns begin at Status. Filter Priority and Game Check first; one completed disposition resolves an item without changing canonical data.</x:v>
      </x:c>
      <x:c r="D3" s="7" t="str">
        <x:v>174 immutable reconciliation items. Editable columns begin at Status. Filter Priority and Game Check first; one completed disposition resolves an item without changing canonical data.</x:v>
      </x:c>
      <x:c r="E3" s="7" t="str">
        <x:v>174 immutable reconciliation items. Editable columns begin at Status. Filter Priority and Game Check first; one completed disposition resolves an item without changing canonical data.</x:v>
      </x:c>
      <x:c r="F3" s="7" t="str">
        <x:v>174 immutable reconciliation items. Editable columns begin at Status. Filter Priority and Game Check first; one completed disposition resolves an item without changing canonical data.</x:v>
      </x:c>
      <x:c r="G3" s="7" t="str">
        <x:v>174 immutable reconciliation items. Editable columns begin at Status. Filter Priority and Game Check first; one completed disposition resolves an item without changing canonical data.</x:v>
      </x:c>
      <x:c r="H3" s="7" t="str">
        <x:v>174 immutable reconciliation items. Editable columns begin at Status. Filter Priority and Game Check first; one completed disposition resolves an item without changing canonical data.</x:v>
      </x:c>
      <x:c r="I3" s="7" t="str">
        <x:v>174 immutable reconciliation items. Editable columns begin at Status. Filter Priority and Game Check first; one completed disposition resolves an item without changing canonical data.</x:v>
      </x:c>
      <x:c r="J3" s="7" t="str">
        <x:v>174 immutable reconciliation items. Editable columns begin at Status. Filter Priority and Game Check first; one completed disposition resolves an item without changing canonical data.</x:v>
      </x:c>
      <x:c r="K3" s="7" t="str">
        <x:v>174 immutable reconciliation items. Editable columns begin at Status. Filter Priority and Game Check first; one completed disposition resolves an item without changing canonical data.</x:v>
      </x:c>
      <x:c r="L3" s="7" t="str">
        <x:v>174 immutable reconciliation items. Editable columns begin at Status. Filter Priority and Game Check first; one completed disposition resolves an item without changing canonical data.</x:v>
      </x:c>
      <x:c r="M3" s="7" t="str">
        <x:v>174 immutable reconciliation items. Editable columns begin at Status. Filter Priority and Game Check first; one completed disposition resolves an item without changing canonical data.</x:v>
      </x:c>
      <x:c r="N3" s="7" t="str">
        <x:v>174 immutable reconciliation items. Editable columns begin at Status. Filter Priority and Game Check first; one completed disposition resolves an item without changing canonical data.</x:v>
      </x:c>
      <x:c r="O3" s="7" t="str">
        <x:v>174 immutable reconciliation items. Editable columns begin at Status. Filter Priority and Game Check first; one completed disposition resolves an item without changing canonical data.</x:v>
      </x:c>
      <x:c r="P3" s="7" t="str">
        <x:v>174 immutable reconciliation items. Editable columns begin at Status. Filter Priority and Game Check first; one completed disposition resolves an item without changing canonical data.</x:v>
      </x:c>
      <x:c r="Q3" s="7" t="str">
        <x:v>174 immutable reconciliation items. Editable columns begin at Status. Filter Priority and Game Check first; one completed disposition resolves an item without changing canonical data.</x:v>
      </x:c>
      <x:c r="R3" s="7" t="str">
        <x:v>174 immutable reconciliation items. Editable columns begin at Status. Filter Priority and Game Check first; one completed disposition resolves an item without changing canonical data.</x:v>
      </x:c>
      <x:c r="S3" s="7" t="str">
        <x:v>174 immutable reconciliation items. Editable columns begin at Status. Filter Priority and Game Check first; one completed disposition resolves an item without changing canonical data.</x:v>
      </x:c>
      <x:c r="T3" s="7" t="str">
        <x:v>174 immutable reconciliation items. Editable columns begin at Status. Filter Priority and Game Check first; one completed disposition resolves an item without changing canonical data.</x:v>
      </x:c>
      <x:c r="U3" s="7" t="str">
        <x:v>174 immutable reconciliation items. Editable columns begin at Status. Filter Priority and Game Check first; one completed disposition resolves an item without changing canonical data.</x:v>
      </x:c>
      <x:c r="V3" s="7" t="str">
        <x:v>174 immutable reconciliation items. Editable columns begin at Status. Filter Priority and Game Check first; one completed disposition resolves an item without changing canonical data.</x:v>
      </x:c>
      <x:c r="W3" s="7" t="str">
        <x:v>174 immutable reconciliation items. Editable columns begin at Status. Filter Priority and Game Check first; one completed disposition resolves an item without changing canonical data.</x:v>
      </x:c>
      <x:c r="X3" s="7" t="str">
        <x:v>174 immutable reconciliation items. Editable columns begin at Status. Filter Priority and Game Check first; one completed disposition resolves an item without changing canonical data.</x:v>
      </x:c>
      <x:c r="Y3" s="7" t="str">
        <x:v>174 immutable reconciliation items. Editable columns begin at Status. Filter Priority and Game Check first; one completed disposition resolves an item without changing canonical data.</x:v>
      </x:c>
    </x:row>
    <x:row r="4" ht="26" customHeight="1">
      <x:c r="A4" s="7" t="str">
        <x:v>174 immutable reconciliation items. Editable columns begin at Status. Filter Priority and Game Check first; one completed disposition resolves an item without changing canonical data.</x:v>
      </x:c>
      <x:c r="B4" s="7" t="str">
        <x:v>174 immutable reconciliation items. Editable columns begin at Status. Filter Priority and Game Check first; one completed disposition resolves an item without changing canonical data.</x:v>
      </x:c>
      <x:c r="C4" s="7" t="str">
        <x:v>174 immutable reconciliation items. Editable columns begin at Status. Filter Priority and Game Check first; one completed disposition resolves an item without changing canonical data.</x:v>
      </x:c>
      <x:c r="D4" s="7" t="str">
        <x:v>174 immutable reconciliation items. Editable columns begin at Status. Filter Priority and Game Check first; one completed disposition resolves an item without changing canonical data.</x:v>
      </x:c>
      <x:c r="E4" s="7" t="str">
        <x:v>174 immutable reconciliation items. Editable columns begin at Status. Filter Priority and Game Check first; one completed disposition resolves an item without changing canonical data.</x:v>
      </x:c>
      <x:c r="F4" s="7" t="str">
        <x:v>174 immutable reconciliation items. Editable columns begin at Status. Filter Priority and Game Check first; one completed disposition resolves an item without changing canonical data.</x:v>
      </x:c>
      <x:c r="G4" s="7" t="str">
        <x:v>174 immutable reconciliation items. Editable columns begin at Status. Filter Priority and Game Check first; one completed disposition resolves an item without changing canonical data.</x:v>
      </x:c>
      <x:c r="H4" s="7" t="str">
        <x:v>174 immutable reconciliation items. Editable columns begin at Status. Filter Priority and Game Check first; one completed disposition resolves an item without changing canonical data.</x:v>
      </x:c>
      <x:c r="I4" s="7" t="str">
        <x:v>174 immutable reconciliation items. Editable columns begin at Status. Filter Priority and Game Check first; one completed disposition resolves an item without changing canonical data.</x:v>
      </x:c>
      <x:c r="J4" s="7" t="str">
        <x:v>174 immutable reconciliation items. Editable columns begin at Status. Filter Priority and Game Check first; one completed disposition resolves an item without changing canonical data.</x:v>
      </x:c>
      <x:c r="K4" s="7" t="str">
        <x:v>174 immutable reconciliation items. Editable columns begin at Status. Filter Priority and Game Check first; one completed disposition resolves an item without changing canonical data.</x:v>
      </x:c>
      <x:c r="L4" s="7" t="str">
        <x:v>174 immutable reconciliation items. Editable columns begin at Status. Filter Priority and Game Check first; one completed disposition resolves an item without changing canonical data.</x:v>
      </x:c>
      <x:c r="M4" s="7" t="str">
        <x:v>174 immutable reconciliation items. Editable columns begin at Status. Filter Priority and Game Check first; one completed disposition resolves an item without changing canonical data.</x:v>
      </x:c>
      <x:c r="N4" s="7" t="str">
        <x:v>174 immutable reconciliation items. Editable columns begin at Status. Filter Priority and Game Check first; one completed disposition resolves an item without changing canonical data.</x:v>
      </x:c>
      <x:c r="O4" s="7" t="str">
        <x:v>174 immutable reconciliation items. Editable columns begin at Status. Filter Priority and Game Check first; one completed disposition resolves an item without changing canonical data.</x:v>
      </x:c>
      <x:c r="P4" s="7" t="str">
        <x:v>174 immutable reconciliation items. Editable columns begin at Status. Filter Priority and Game Check first; one completed disposition resolves an item without changing canonical data.</x:v>
      </x:c>
      <x:c r="Q4" s="7" t="str">
        <x:v>174 immutable reconciliation items. Editable columns begin at Status. Filter Priority and Game Check first; one completed disposition resolves an item without changing canonical data.</x:v>
      </x:c>
      <x:c r="R4" s="7" t="str">
        <x:v>174 immutable reconciliation items. Editable columns begin at Status. Filter Priority and Game Check first; one completed disposition resolves an item without changing canonical data.</x:v>
      </x:c>
      <x:c r="S4" s="7" t="str">
        <x:v>174 immutable reconciliation items. Editable columns begin at Status. Filter Priority and Game Check first; one completed disposition resolves an item without changing canonical data.</x:v>
      </x:c>
      <x:c r="T4" s="7" t="str">
        <x:v>174 immutable reconciliation items. Editable columns begin at Status. Filter Priority and Game Check first; one completed disposition resolves an item without changing canonical data.</x:v>
      </x:c>
      <x:c r="U4" s="7" t="str">
        <x:v>174 immutable reconciliation items. Editable columns begin at Status. Filter Priority and Game Check first; one completed disposition resolves an item without changing canonical data.</x:v>
      </x:c>
      <x:c r="V4" s="7" t="str">
        <x:v>174 immutable reconciliation items. Editable columns begin at Status. Filter Priority and Game Check first; one completed disposition resolves an item without changing canonical data.</x:v>
      </x:c>
      <x:c r="W4" s="7" t="str">
        <x:v>174 immutable reconciliation items. Editable columns begin at Status. Filter Priority and Game Check first; one completed disposition resolves an item without changing canonical data.</x:v>
      </x:c>
      <x:c r="X4" s="7" t="str">
        <x:v>174 immutable reconciliation items. Editable columns begin at Status. Filter Priority and Game Check first; one completed disposition resolves an item without changing canonical data.</x:v>
      </x:c>
      <x:c r="Y4" s="7" t="str">
        <x:v>174 immutable reconciliation items. Editable columns begin at Status. Filter Priority and Game Check first; one completed disposition resolves an item without changing canonical data.</x:v>
      </x:c>
    </x:row>
    <x:row r="7" ht="34" customHeight="1">
      <x:c r="A7" s="22" t="str">
        <x:v>Review ID</x:v>
      </x:c>
      <x:c r="B7" s="23" t="str">
        <x:v>Priority</x:v>
      </x:c>
      <x:c r="C7" s="23" t="str">
        <x:v>Game Check</x:v>
      </x:c>
      <x:c r="D7" s="23" t="str">
        <x:v>Bucket</x:v>
      </x:c>
      <x:c r="E7" s="23" t="str">
        <x:v>Match Method</x:v>
      </x:c>
      <x:c r="F7" s="23" t="str">
        <x:v>Canonical ID</x:v>
      </x:c>
      <x:c r="G7" s="23" t="str">
        <x:v>Gu Name</x:v>
      </x:c>
      <x:c r="H7" s="23" t="str">
        <x:v>WFCD Name</x:v>
      </x:c>
      <x:c r="I7" s="23" t="str">
        <x:v>WFCD uniqueName</x:v>
      </x:c>
      <x:c r="J7" s="23" t="str">
        <x:v>WFCD Validation</x:v>
      </x:c>
      <x:c r="K7" s="23" t="str">
        <x:v>Diff Fields</x:v>
      </x:c>
      <x:c r="L7" s="23" t="str">
        <x:v>Field Differences</x:v>
      </x:c>
      <x:c r="M7" s="23" t="str">
        <x:v>Suggested Action</x:v>
      </x:c>
      <x:c r="N7" s="23" t="str">
        <x:v>Evidence Needed</x:v>
      </x:c>
      <x:c r="O7" s="23" t="str">
        <x:v>Status</x:v>
      </x:c>
      <x:c r="P7" s="23" t="str">
        <x:v>Final Disposition</x:v>
      </x:c>
      <x:c r="Q7" s="23" t="str">
        <x:v>Canonical Name Decision</x:v>
      </x:c>
      <x:c r="R7" s="23" t="str">
        <x:v>Approved uniqueName / Alias</x:v>
      </x:c>
      <x:c r="S7" s="23" t="str">
        <x:v>Reviewer Notes</x:v>
      </x:c>
      <x:c r="T7" s="23" t="str">
        <x:v>Evidence Link / Screenshot</x:v>
      </x:c>
      <x:c r="U7" s="23" t="str">
        <x:v>Reviewed By</x:v>
      </x:c>
      <x:c r="V7" s="23" t="str">
        <x:v>Reviewed Date</x:v>
      </x:c>
      <x:c r="W7" s="23" t="str">
        <x:v>Resolved?</x:v>
      </x:c>
      <x:c r="X7" s="23" t="str">
        <x:v>Pinned Source URL</x:v>
      </x:c>
      <x:c r="Y7" s="24" t="str">
        <x:v>Reconciliation Run ID</x:v>
      </x:c>
    </x:row>
    <x:row r="8">
      <x:c r="A8" s="30" t="str">
        <x:v>ARC-0001</x:v>
      </x:c>
      <x:c r="B8" s="30" t="str">
        <x:v>P0</x:v>
      </x:c>
      <x:c r="C8" s="30" t="str">
        <x:v>YES</x:v>
      </x:c>
      <x:c r="D8" s="30" t="str">
        <x:v>MANUAL_REVIEW</x:v>
      </x:c>
      <x:c r="E8" s="30" t="str">
        <x:v>MANUAL_REVIEW</x:v>
      </x:c>
      <x:c r="F8" s="30" t="str">
        <x:v>79</x:v>
      </x:c>
      <x:c r="G8" s="30" t="str">
        <x:v>Arcane Steadfast</x:v>
      </x:c>
      <x:c r="H8" s="30" t="str"/>
      <x:c r="I8" s="30" t="str"/>
      <x:c r="J8" s="30" t="str">
        <x:v>VALID</x:v>
      </x:c>
      <x:c r="K8" s="30" t="str">
        <x:v>identity</x:v>
      </x:c>
      <x:c r="L8" s="61" t="str">
        <x:v>identity: Gu=∅ | WFCD=∅ | reason=DUPLICATE_NORMALIZED_UPSTREAM_NAME; candidate_unique_names=["/Lotus/Upgrades/CosmeticEnhancers/Utility/NoCostCastChanceAbility1Listener","/Lotus/Upgrades/CosmeticEnhancers/Utility/NoCostCastChanceAbility2Listener","/Lotus/Upgrades/CosmeticEnhancers/Utility/NoCostCastChanceAbility3Listener","/Lotus/Upgrades/CosmeticEnhancers/Utility/NoCostCastChanceAbility4Listener","/Lotus/Upgrades/CosmeticEnhancers/Utility/NoCostCastChanceOnCast"]</x:v>
      </x:c>
      <x:c r="M8" s="61" t="str">
        <x:v>Confirm the single player-facing Arcane and approve an explicit internal-record grouping or representative stable ID.</x:v>
      </x:c>
      <x:c r="N8" s="61" t="str">
        <x:v>In-game UI screenshot plus exact displayed name/type/rank/effect where available.</x:v>
      </x:c>
      <x:c r="O8" s="30" t="str">
        <x:v>NOT_STARTED</x:v>
      </x:c>
      <x:c r="P8" s="30" t="str"/>
      <x:c r="Q8" s="30" t="str">
        <x:v>Arcane Steadfast</x:v>
      </x:c>
      <x:c r="R8" s="30" t="str"/>
      <x:c r="S8" s="61" t="str"/>
      <x:c r="T8" s="61" t="str"/>
      <x:c r="U8" s="30" t="str"/>
      <x:c r="V8" s="64"/>
      <x:c r="W8" s="30" t="str">
        <x:f>IF(AND(O8="COMPLETE",P8&lt;&gt;"",P8&lt;&gt;"DEFER"),"YES","NO")</x:f>
        <x:v>NO</x:v>
      </x:c>
      <x:c r="X8" s="30" t="str">
        <x:v>https://raw.githubusercontent.com/WFCD/warframe-items/f7c69c0786611df81214cabf588160d7af9cc80c/data/json/Arcanes.json</x:v>
      </x:c>
      <x:c r="Y8" s="30" t="str">
        <x:v>f40d0d19-c224-47f8-9ef2-c225f42e91d0</x:v>
      </x:c>
    </x:row>
    <x:row r="9">
      <x:c r="A9" s="31" t="str">
        <x:v>ARC-0002</x:v>
      </x:c>
      <x:c r="B9" s="31" t="str">
        <x:v>P1</x:v>
      </x:c>
      <x:c r="C9" s="31" t="str">
        <x:v>YES</x:v>
      </x:c>
      <x:c r="D9" s="31" t="str">
        <x:v>GU_MISSING</x:v>
      </x:c>
      <x:c r="E9" s="31" t="str">
        <x:v>UNMATCHED</x:v>
      </x:c>
      <x:c r="F9" s="31" t="str"/>
      <x:c r="G9" s="31" t="str"/>
      <x:c r="H9" s="31" t="str">
        <x:v>Arcane Defense</x:v>
      </x:c>
      <x:c r="I9" s="31" t="str">
        <x:v>/Lotus/Upgrades/CosmeticEnhancers/Defensive/PunctureProcResist</x:v>
      </x:c>
      <x:c r="J9" s="31" t="str">
        <x:v>MISSING_RARITY</x:v>
      </x:c>
      <x:c r="K9" s="31" t="str">
        <x:v>canonical_entity</x:v>
      </x:c>
      <x:c r="L9" s="62" t="str">
        <x:v>canonical_entity: Gu=∅ | WFCD=Arcane Defense | reason=NO_CANONICAL_STABLE_ID_NAME_OR_APPROVED_ALIAS_MATCH</x:v>
      </x:c>
      <x:c r="M9" s="62" t="str">
        <x:v>Verify the upstream entity is player-facing and belongs in Gu before adding a canonical row.</x:v>
      </x:c>
      <x:c r="N9" s="62" t="str">
        <x:v>In-game UI screenshot plus exact displayed name/type/rank/effect where available.</x:v>
      </x:c>
      <x:c r="O9" s="31" t="str">
        <x:v>NOT_STARTED</x:v>
      </x:c>
      <x:c r="P9" s="31" t="str"/>
      <x:c r="Q9" s="31" t="str">
        <x:v>Arcane Defense</x:v>
      </x:c>
      <x:c r="R9" s="31" t="str">
        <x:v>/Lotus/Upgrades/CosmeticEnhancers/Defensive/PunctureProcResist</x:v>
      </x:c>
      <x:c r="S9" s="62" t="str"/>
      <x:c r="T9" s="62" t="str"/>
      <x:c r="U9" s="31" t="str"/>
      <x:c r="V9" s="65"/>
      <x:c r="W9" s="31" t="str">
        <x:f>IF(AND(O9="COMPLETE",P9&lt;&gt;"",P9&lt;&gt;"DEFER"),"YES","NO")</x:f>
        <x:v>NO</x:v>
      </x:c>
      <x:c r="X9" s="31" t="str">
        <x:v>https://raw.githubusercontent.com/WFCD/warframe-items/f7c69c0786611df81214cabf588160d7af9cc80c/data/json/Arcanes.json</x:v>
      </x:c>
      <x:c r="Y9" s="31" t="str">
        <x:v>f40d0d19-c224-47f8-9ef2-c225f42e91d0</x:v>
      </x:c>
    </x:row>
    <x:row r="10">
      <x:c r="A10" s="31" t="str">
        <x:v>ARC-0003</x:v>
      </x:c>
      <x:c r="B10" s="31" t="str">
        <x:v>P1</x:v>
      </x:c>
      <x:c r="C10" s="31" t="str">
        <x:v>YES</x:v>
      </x:c>
      <x:c r="D10" s="31" t="str">
        <x:v>GU_MISSING</x:v>
      </x:c>
      <x:c r="E10" s="31" t="str">
        <x:v>UNMATCHED</x:v>
      </x:c>
      <x:c r="F10" s="31" t="str"/>
      <x:c r="G10" s="31" t="str"/>
      <x:c r="H10" s="31" t="str">
        <x:v>Arcane Detoxifier</x:v>
      </x:c>
      <x:c r="I10" s="31" t="str">
        <x:v>/Lotus/Upgrades/CosmeticEnhancers/Defensive/PoisonProcResist</x:v>
      </x:c>
      <x:c r="J10" s="31" t="str">
        <x:v>MISSING_RARITY</x:v>
      </x:c>
      <x:c r="K10" s="31" t="str">
        <x:v>canonical_entity</x:v>
      </x:c>
      <x:c r="L10" s="62" t="str">
        <x:v>canonical_entity: Gu=∅ | WFCD=Arcane Detoxifier | reason=NO_CANONICAL_STABLE_ID_NAME_OR_APPROVED_ALIAS_MATCH</x:v>
      </x:c>
      <x:c r="M10" s="62" t="str">
        <x:v>Verify the upstream entity is player-facing and belongs in Gu before adding a canonical row.</x:v>
      </x:c>
      <x:c r="N10" s="62" t="str">
        <x:v>In-game UI screenshot plus exact displayed name/type/rank/effect where available.</x:v>
      </x:c>
      <x:c r="O10" s="31" t="str">
        <x:v>NOT_STARTED</x:v>
      </x:c>
      <x:c r="P10" s="31" t="str"/>
      <x:c r="Q10" s="31" t="str">
        <x:v>Arcane Detoxifier</x:v>
      </x:c>
      <x:c r="R10" s="31" t="str">
        <x:v>/Lotus/Upgrades/CosmeticEnhancers/Defensive/PoisonProcResist</x:v>
      </x:c>
      <x:c r="S10" s="62" t="str"/>
      <x:c r="T10" s="62" t="str"/>
      <x:c r="U10" s="31" t="str"/>
      <x:c r="V10" s="65"/>
      <x:c r="W10" s="31" t="str">
        <x:f>IF(AND(O10="COMPLETE",P10&lt;&gt;"",P10&lt;&gt;"DEFER"),"YES","NO")</x:f>
        <x:v>NO</x:v>
      </x:c>
      <x:c r="X10" s="31" t="str">
        <x:v>https://raw.githubusercontent.com/WFCD/warframe-items/f7c69c0786611df81214cabf588160d7af9cc80c/data/json/Arcanes.json</x:v>
      </x:c>
      <x:c r="Y10" s="31" t="str">
        <x:v>f40d0d19-c224-47f8-9ef2-c225f42e91d0</x:v>
      </x:c>
    </x:row>
    <x:row r="11">
      <x:c r="A11" s="31" t="str">
        <x:v>ARC-0004</x:v>
      </x:c>
      <x:c r="B11" s="31" t="str">
        <x:v>P1</x:v>
      </x:c>
      <x:c r="C11" s="31" t="str">
        <x:v>YES</x:v>
      </x:c>
      <x:c r="D11" s="31" t="str">
        <x:v>GU_MISSING</x:v>
      </x:c>
      <x:c r="E11" s="31" t="str">
        <x:v>UNMATCHED</x:v>
      </x:c>
      <x:c r="F11" s="31" t="str"/>
      <x:c r="G11" s="31" t="str"/>
      <x:c r="H11" s="31" t="str">
        <x:v>Arcane Ice Storm</x:v>
      </x:c>
      <x:c r="I11" s="31" t="str">
        <x:v>/Lotus/Upgrades/CosmeticEnhancers/Offensive/AbilityPowerOnFreeze</x:v>
      </x:c>
      <x:c r="J11" s="31" t="str">
        <x:v>VALID</x:v>
      </x:c>
      <x:c r="K11" s="31" t="str">
        <x:v>canonical_entity</x:v>
      </x:c>
      <x:c r="L11" s="62" t="str">
        <x:v>canonical_entity: Gu=∅ | WFCD=Arcane Ice Storm | reason=NO_CANONICAL_STABLE_ID_NAME_OR_APPROVED_ALIAS_MATCH</x:v>
      </x:c>
      <x:c r="M11" s="62" t="str">
        <x:v>Verify the upstream entity is player-facing and belongs in Gu before adding a canonical row.</x:v>
      </x:c>
      <x:c r="N11" s="62" t="str">
        <x:v>In-game UI screenshot plus exact displayed name/type/rank/effect where available.</x:v>
      </x:c>
      <x:c r="O11" s="31" t="str">
        <x:v>NOT_STARTED</x:v>
      </x:c>
      <x:c r="P11" s="31" t="str"/>
      <x:c r="Q11" s="31" t="str">
        <x:v>Arcane Ice Storm</x:v>
      </x:c>
      <x:c r="R11" s="31" t="str">
        <x:v>/Lotus/Upgrades/CosmeticEnhancers/Offensive/AbilityPowerOnFreeze</x:v>
      </x:c>
      <x:c r="S11" s="62" t="str"/>
      <x:c r="T11" s="62" t="str"/>
      <x:c r="U11" s="31" t="str"/>
      <x:c r="V11" s="65"/>
      <x:c r="W11" s="31" t="str">
        <x:f>IF(AND(O11="COMPLETE",P11&lt;&gt;"",P11&lt;&gt;"DEFER"),"YES","NO")</x:f>
        <x:v>NO</x:v>
      </x:c>
      <x:c r="X11" s="31" t="str">
        <x:v>https://raw.githubusercontent.com/WFCD/warframe-items/f7c69c0786611df81214cabf588160d7af9cc80c/data/json/Arcanes.json</x:v>
      </x:c>
      <x:c r="Y11" s="31" t="str">
        <x:v>f40d0d19-c224-47f8-9ef2-c225f42e91d0</x:v>
      </x:c>
    </x:row>
    <x:row r="12">
      <x:c r="A12" s="31" t="str">
        <x:v>ARC-0005</x:v>
      </x:c>
      <x:c r="B12" s="31" t="str">
        <x:v>P1</x:v>
      </x:c>
      <x:c r="C12" s="31" t="str">
        <x:v>YES</x:v>
      </x:c>
      <x:c r="D12" s="31" t="str">
        <x:v>GU_MISSING</x:v>
      </x:c>
      <x:c r="E12" s="31" t="str">
        <x:v>UNMATCHED</x:v>
      </x:c>
      <x:c r="F12" s="31" t="str"/>
      <x:c r="G12" s="31" t="str"/>
      <x:c r="H12" s="31" t="str">
        <x:v>Arcane Liquid</x:v>
      </x:c>
      <x:c r="I12" s="31" t="str">
        <x:v>/Lotus/Upgrades/CosmeticEnhancers/Defensive/GasProcResist</x:v>
      </x:c>
      <x:c r="J12" s="31" t="str">
        <x:v>MISSING_RARITY</x:v>
      </x:c>
      <x:c r="K12" s="31" t="str">
        <x:v>canonical_entity</x:v>
      </x:c>
      <x:c r="L12" s="62" t="str">
        <x:v>canonical_entity: Gu=∅ | WFCD=Arcane Liquid | reason=NO_CANONICAL_STABLE_ID_NAME_OR_APPROVED_ALIAS_MATCH</x:v>
      </x:c>
      <x:c r="M12" s="62" t="str">
        <x:v>Verify the upstream entity is player-facing and belongs in Gu before adding a canonical row.</x:v>
      </x:c>
      <x:c r="N12" s="62" t="str">
        <x:v>In-game UI screenshot plus exact displayed name/type/rank/effect where available.</x:v>
      </x:c>
      <x:c r="O12" s="31" t="str">
        <x:v>NOT_STARTED</x:v>
      </x:c>
      <x:c r="P12" s="31" t="str"/>
      <x:c r="Q12" s="31" t="str">
        <x:v>Arcane Liquid</x:v>
      </x:c>
      <x:c r="R12" s="31" t="str">
        <x:v>/Lotus/Upgrades/CosmeticEnhancers/Defensive/GasProcResist</x:v>
      </x:c>
      <x:c r="S12" s="62" t="str"/>
      <x:c r="T12" s="62" t="str"/>
      <x:c r="U12" s="31" t="str"/>
      <x:c r="V12" s="65"/>
      <x:c r="W12" s="31" t="str">
        <x:f>IF(AND(O12="COMPLETE",P12&lt;&gt;"",P12&lt;&gt;"DEFER"),"YES","NO")</x:f>
        <x:v>NO</x:v>
      </x:c>
      <x:c r="X12" s="31" t="str">
        <x:v>https://raw.githubusercontent.com/WFCD/warframe-items/f7c69c0786611df81214cabf588160d7af9cc80c/data/json/Arcanes.json</x:v>
      </x:c>
      <x:c r="Y12" s="31" t="str">
        <x:v>f40d0d19-c224-47f8-9ef2-c225f42e91d0</x:v>
      </x:c>
    </x:row>
    <x:row r="13">
      <x:c r="A13" s="31" t="str">
        <x:v>ARC-0006</x:v>
      </x:c>
      <x:c r="B13" s="31" t="str">
        <x:v>P1</x:v>
      </x:c>
      <x:c r="C13" s="31" t="str">
        <x:v>YES</x:v>
      </x:c>
      <x:c r="D13" s="31" t="str">
        <x:v>GU_MISSING</x:v>
      </x:c>
      <x:c r="E13" s="31" t="str">
        <x:v>UNMATCHED</x:v>
      </x:c>
      <x:c r="F13" s="31" t="str"/>
      <x:c r="G13" s="31" t="str"/>
      <x:c r="H13" s="31" t="str">
        <x:v>Arcane Protection</x:v>
      </x:c>
      <x:c r="I13" s="31" t="str">
        <x:v>/Lotus/Upgrades/CosmeticEnhancers/Defensive/CorrosiveProcResist</x:v>
      </x:c>
      <x:c r="J13" s="31" t="str">
        <x:v>VALID</x:v>
      </x:c>
      <x:c r="K13" s="31" t="str">
        <x:v>canonical_entity</x:v>
      </x:c>
      <x:c r="L13" s="62" t="str">
        <x:v>canonical_entity: Gu=∅ | WFCD=Arcane Protection | reason=NO_CANONICAL_STABLE_ID_NAME_OR_APPROVED_ALIAS_MATCH</x:v>
      </x:c>
      <x:c r="M13" s="62" t="str">
        <x:v>Verify the upstream entity is player-facing and belongs in Gu before adding a canonical row.</x:v>
      </x:c>
      <x:c r="N13" s="62" t="str">
        <x:v>In-game UI screenshot plus exact displayed name/type/rank/effect where available.</x:v>
      </x:c>
      <x:c r="O13" s="31" t="str">
        <x:v>NOT_STARTED</x:v>
      </x:c>
      <x:c r="P13" s="31" t="str"/>
      <x:c r="Q13" s="31" t="str">
        <x:v>Arcane Protection</x:v>
      </x:c>
      <x:c r="R13" s="31" t="str">
        <x:v>/Lotus/Upgrades/CosmeticEnhancers/Defensive/CorrosiveProcResist</x:v>
      </x:c>
      <x:c r="S13" s="62" t="str"/>
      <x:c r="T13" s="62" t="str"/>
      <x:c r="U13" s="31" t="str"/>
      <x:c r="V13" s="65"/>
      <x:c r="W13" s="31" t="str">
        <x:f>IF(AND(O13="COMPLETE",P13&lt;&gt;"",P13&lt;&gt;"DEFER"),"YES","NO")</x:f>
        <x:v>NO</x:v>
      </x:c>
      <x:c r="X13" s="31" t="str">
        <x:v>https://raw.githubusercontent.com/WFCD/warframe-items/f7c69c0786611df81214cabf588160d7af9cc80c/data/json/Arcanes.json</x:v>
      </x:c>
      <x:c r="Y13" s="31" t="str">
        <x:v>f40d0d19-c224-47f8-9ef2-c225f42e91d0</x:v>
      </x:c>
    </x:row>
    <x:row r="14">
      <x:c r="A14" s="31" t="str">
        <x:v>ARC-0007</x:v>
      </x:c>
      <x:c r="B14" s="31" t="str">
        <x:v>P1</x:v>
      </x:c>
      <x:c r="C14" s="31" t="str">
        <x:v>YES</x:v>
      </x:c>
      <x:c r="D14" s="31" t="str">
        <x:v>GU_MISSING</x:v>
      </x:c>
      <x:c r="E14" s="31" t="str">
        <x:v>UNMATCHED</x:v>
      </x:c>
      <x:c r="F14" s="31" t="str"/>
      <x:c r="G14" s="31" t="str"/>
      <x:c r="H14" s="31" t="str">
        <x:v>Arcane Sculptor</x:v>
      </x:c>
      <x:c r="I14" s="31" t="str">
        <x:v>/Lotus/Upgrades/CosmeticEnhancers/Utility/AbilityEfficiencyOnAbilityObjectCreation</x:v>
      </x:c>
      <x:c r="J14" s="31" t="str">
        <x:v>VALID</x:v>
      </x:c>
      <x:c r="K14" s="31" t="str">
        <x:v>canonical_entity</x:v>
      </x:c>
      <x:c r="L14" s="62" t="str">
        <x:v>canonical_entity: Gu=∅ | WFCD=Arcane Sculptor | reason=NO_CANONICAL_STABLE_ID_NAME_OR_APPROVED_ALIAS_MATCH</x:v>
      </x:c>
      <x:c r="M14" s="62" t="str">
        <x:v>Verify the upstream entity is player-facing and belongs in Gu before adding a canonical row.</x:v>
      </x:c>
      <x:c r="N14" s="62" t="str">
        <x:v>In-game UI screenshot plus exact displayed name/type/rank/effect where available.</x:v>
      </x:c>
      <x:c r="O14" s="31" t="str">
        <x:v>NOT_STARTED</x:v>
      </x:c>
      <x:c r="P14" s="31" t="str"/>
      <x:c r="Q14" s="31" t="str">
        <x:v>Arcane Sculptor</x:v>
      </x:c>
      <x:c r="R14" s="31" t="str">
        <x:v>/Lotus/Upgrades/CosmeticEnhancers/Utility/AbilityEfficiencyOnAbilityObjectCreation</x:v>
      </x:c>
      <x:c r="S14" s="62" t="str"/>
      <x:c r="T14" s="62" t="str"/>
      <x:c r="U14" s="31" t="str"/>
      <x:c r="V14" s="65"/>
      <x:c r="W14" s="31" t="str">
        <x:f>IF(AND(O14="COMPLETE",P14&lt;&gt;"",P14&lt;&gt;"DEFER"),"YES","NO")</x:f>
        <x:v>NO</x:v>
      </x:c>
      <x:c r="X14" s="31" t="str">
        <x:v>https://raw.githubusercontent.com/WFCD/warframe-items/f7c69c0786611df81214cabf588160d7af9cc80c/data/json/Arcanes.json</x:v>
      </x:c>
      <x:c r="Y14" s="31" t="str">
        <x:v>f40d0d19-c224-47f8-9ef2-c225f42e91d0</x:v>
      </x:c>
    </x:row>
    <x:row r="15">
      <x:c r="A15" s="31" t="str">
        <x:v>ARC-0008</x:v>
      </x:c>
      <x:c r="B15" s="31" t="str">
        <x:v>P1</x:v>
      </x:c>
      <x:c r="C15" s="31" t="str">
        <x:v>YES</x:v>
      </x:c>
      <x:c r="D15" s="31" t="str">
        <x:v>GU_MISSING</x:v>
      </x:c>
      <x:c r="E15" s="31" t="str">
        <x:v>UNMATCHED</x:v>
      </x:c>
      <x:c r="F15" s="31" t="str"/>
      <x:c r="G15" s="31" t="str"/>
      <x:c r="H15" s="31" t="str">
        <x:v>Arcane Shield</x:v>
      </x:c>
      <x:c r="I15" s="31" t="str">
        <x:v>/Lotus/Upgrades/CosmeticEnhancers/Defensive/ImpactProcResist</x:v>
      </x:c>
      <x:c r="J15" s="31" t="str">
        <x:v>VALID</x:v>
      </x:c>
      <x:c r="K15" s="31" t="str">
        <x:v>canonical_entity</x:v>
      </x:c>
      <x:c r="L15" s="62" t="str">
        <x:v>canonical_entity: Gu=∅ | WFCD=Arcane Shield | reason=NO_CANONICAL_STABLE_ID_NAME_OR_APPROVED_ALIAS_MATCH</x:v>
      </x:c>
      <x:c r="M15" s="62" t="str">
        <x:v>Verify the upstream entity is player-facing and belongs in Gu before adding a canonical row.</x:v>
      </x:c>
      <x:c r="N15" s="62" t="str">
        <x:v>In-game UI screenshot plus exact displayed name/type/rank/effect where available.</x:v>
      </x:c>
      <x:c r="O15" s="31" t="str">
        <x:v>NOT_STARTED</x:v>
      </x:c>
      <x:c r="P15" s="31" t="str"/>
      <x:c r="Q15" s="31" t="str">
        <x:v>Arcane Shield</x:v>
      </x:c>
      <x:c r="R15" s="31" t="str">
        <x:v>/Lotus/Upgrades/CosmeticEnhancers/Defensive/ImpactProcResist</x:v>
      </x:c>
      <x:c r="S15" s="62" t="str"/>
      <x:c r="T15" s="62" t="str"/>
      <x:c r="U15" s="31" t="str"/>
      <x:c r="V15" s="65"/>
      <x:c r="W15" s="31" t="str">
        <x:f>IF(AND(O15="COMPLETE",P15&lt;&gt;"",P15&lt;&gt;"DEFER"),"YES","NO")</x:f>
        <x:v>NO</x:v>
      </x:c>
      <x:c r="X15" s="31" t="str">
        <x:v>https://raw.githubusercontent.com/WFCD/warframe-items/f7c69c0786611df81214cabf588160d7af9cc80c/data/json/Arcanes.json</x:v>
      </x:c>
      <x:c r="Y15" s="31" t="str">
        <x:v>f40d0d19-c224-47f8-9ef2-c225f42e91d0</x:v>
      </x:c>
    </x:row>
    <x:row r="16">
      <x:c r="A16" s="31" t="str">
        <x:v>ARC-0009</x:v>
      </x:c>
      <x:c r="B16" s="31" t="str">
        <x:v>P1</x:v>
      </x:c>
      <x:c r="C16" s="31" t="str">
        <x:v>YES</x:v>
      </x:c>
      <x:c r="D16" s="31" t="str">
        <x:v>GU_MISSING</x:v>
      </x:c>
      <x:c r="E16" s="31" t="str">
        <x:v>UNMATCHED</x:v>
      </x:c>
      <x:c r="F16" s="31" t="str"/>
      <x:c r="G16" s="31" t="str"/>
      <x:c r="H16" s="31" t="str">
        <x:v>Arcane Survival</x:v>
      </x:c>
      <x:c r="I16" s="31" t="str">
        <x:v>/Lotus/Upgrades/CosmeticEnhancers/Utility/SlowerBleedOutOnPredeath</x:v>
      </x:c>
      <x:c r="J16" s="31" t="str">
        <x:v>MISSING_RARITY</x:v>
      </x:c>
      <x:c r="K16" s="31" t="str">
        <x:v>canonical_entity</x:v>
      </x:c>
      <x:c r="L16" s="62" t="str">
        <x:v>canonical_entity: Gu=∅ | WFCD=Arcane Survival | reason=NO_CANONICAL_STABLE_ID_NAME_OR_APPROVED_ALIAS_MATCH</x:v>
      </x:c>
      <x:c r="M16" s="62" t="str">
        <x:v>Verify the upstream entity is player-facing and belongs in Gu before adding a canonical row.</x:v>
      </x:c>
      <x:c r="N16" s="62" t="str">
        <x:v>In-game UI screenshot plus exact displayed name/type/rank/effect where available.</x:v>
      </x:c>
      <x:c r="O16" s="31" t="str">
        <x:v>NOT_STARTED</x:v>
      </x:c>
      <x:c r="P16" s="31" t="str"/>
      <x:c r="Q16" s="31" t="str">
        <x:v>Arcane Survival</x:v>
      </x:c>
      <x:c r="R16" s="31" t="str">
        <x:v>/Lotus/Upgrades/CosmeticEnhancers/Utility/SlowerBleedOutOnPredeath</x:v>
      </x:c>
      <x:c r="S16" s="62" t="str"/>
      <x:c r="T16" s="62" t="str"/>
      <x:c r="U16" s="31" t="str"/>
      <x:c r="V16" s="65"/>
      <x:c r="W16" s="31" t="str">
        <x:f>IF(AND(O16="COMPLETE",P16&lt;&gt;"",P16&lt;&gt;"DEFER"),"YES","NO")</x:f>
        <x:v>NO</x:v>
      </x:c>
      <x:c r="X16" s="31" t="str">
        <x:v>https://raw.githubusercontent.com/WFCD/warframe-items/f7c69c0786611df81214cabf588160d7af9cc80c/data/json/Arcanes.json</x:v>
      </x:c>
      <x:c r="Y16" s="31" t="str">
        <x:v>f40d0d19-c224-47f8-9ef2-c225f42e91d0</x:v>
      </x:c>
    </x:row>
    <x:row r="17">
      <x:c r="A17" s="31" t="str">
        <x:v>ARC-0010</x:v>
      </x:c>
      <x:c r="B17" s="31" t="str">
        <x:v>P1</x:v>
      </x:c>
      <x:c r="C17" s="31" t="str">
        <x:v>YES</x:v>
      </x:c>
      <x:c r="D17" s="31" t="str">
        <x:v>GU_MISSING</x:v>
      </x:c>
      <x:c r="E17" s="31" t="str">
        <x:v>UNMATCHED</x:v>
      </x:c>
      <x:c r="F17" s="31" t="str"/>
      <x:c r="G17" s="31" t="str"/>
      <x:c r="H17" s="31" t="str">
        <x:v>Arcane Temperance</x:v>
      </x:c>
      <x:c r="I17" s="31" t="str">
        <x:v>/Lotus/Upgrades/CosmeticEnhancers/Utility/DamageReductionDuringRevive</x:v>
      </x:c>
      <x:c r="J17" s="31" t="str">
        <x:v>VALID</x:v>
      </x:c>
      <x:c r="K17" s="31" t="str">
        <x:v>canonical_entity</x:v>
      </x:c>
      <x:c r="L17" s="62" t="str">
        <x:v>canonical_entity: Gu=∅ | WFCD=Arcane Temperance | reason=NO_CANONICAL_STABLE_ID_NAME_OR_APPROVED_ALIAS_MATCH</x:v>
      </x:c>
      <x:c r="M17" s="62" t="str">
        <x:v>Verify the upstream entity is player-facing and belongs in Gu before adding a canonical row.</x:v>
      </x:c>
      <x:c r="N17" s="62" t="str">
        <x:v>In-game UI screenshot plus exact displayed name/type/rank/effect where available.</x:v>
      </x:c>
      <x:c r="O17" s="31" t="str">
        <x:v>NOT_STARTED</x:v>
      </x:c>
      <x:c r="P17" s="31" t="str"/>
      <x:c r="Q17" s="31" t="str">
        <x:v>Arcane Temperance</x:v>
      </x:c>
      <x:c r="R17" s="31" t="str">
        <x:v>/Lotus/Upgrades/CosmeticEnhancers/Utility/DamageReductionDuringRevive</x:v>
      </x:c>
      <x:c r="S17" s="62" t="str"/>
      <x:c r="T17" s="62" t="str"/>
      <x:c r="U17" s="31" t="str"/>
      <x:c r="V17" s="65"/>
      <x:c r="W17" s="31" t="str">
        <x:f>IF(AND(O17="COMPLETE",P17&lt;&gt;"",P17&lt;&gt;"DEFER"),"YES","NO")</x:f>
        <x:v>NO</x:v>
      </x:c>
      <x:c r="X17" s="31" t="str">
        <x:v>https://raw.githubusercontent.com/WFCD/warframe-items/f7c69c0786611df81214cabf588160d7af9cc80c/data/json/Arcanes.json</x:v>
      </x:c>
      <x:c r="Y17" s="31" t="str">
        <x:v>f40d0d19-c224-47f8-9ef2-c225f42e91d0</x:v>
      </x:c>
    </x:row>
    <x:row r="18">
      <x:c r="A18" s="31" t="str">
        <x:v>ARC-0011</x:v>
      </x:c>
      <x:c r="B18" s="31" t="str">
        <x:v>P0</x:v>
      </x:c>
      <x:c r="C18" s="31" t="str">
        <x:v>YES</x:v>
      </x:c>
      <x:c r="D18" s="31" t="str">
        <x:v>GU_MISSING</x:v>
      </x:c>
      <x:c r="E18" s="31" t="str">
        <x:v>UNMATCHED</x:v>
      </x:c>
      <x:c r="F18" s="31" t="str"/>
      <x:c r="G18" s="31" t="str"/>
      <x:c r="H18" s="31" t="str">
        <x:v>Arcane Truculence</x:v>
      </x:c>
      <x:c r="I18" s="31" t="str">
        <x:v>/Lotus/Upgrades/CosmeticEnhancers/Defensive/RadialViralAttackOnOverguardGain</x:v>
      </x:c>
      <x:c r="J18" s="31" t="str">
        <x:v>VALID</x:v>
      </x:c>
      <x:c r="K18" s="31" t="str">
        <x:v>canonical_entity</x:v>
      </x:c>
      <x:c r="L18" s="62" t="str">
        <x:v>canonical_entity: Gu=∅ | WFCD=Arcane Truculence | reason=NO_CANONICAL_STABLE_ID_NAME_OR_APPROVED_ALIAS_MATCH</x:v>
      </x:c>
      <x:c r="M18" s="62" t="str">
        <x:v>Confirm current spelling and identity; approve an alias only with direct evidence.</x:v>
      </x:c>
      <x:c r="N18" s="62" t="str">
        <x:v>In-game UI screenshot plus exact displayed name/type/rank/effect where available.</x:v>
      </x:c>
      <x:c r="O18" s="31" t="str">
        <x:v>NOT_STARTED</x:v>
      </x:c>
      <x:c r="P18" s="31" t="str"/>
      <x:c r="Q18" s="31" t="str">
        <x:v>Arcane Truculence</x:v>
      </x:c>
      <x:c r="R18" s="31" t="str">
        <x:v>/Lotus/Upgrades/CosmeticEnhancers/Defensive/RadialViralAttackOnOverguardGain</x:v>
      </x:c>
      <x:c r="S18" s="62" t="str"/>
      <x:c r="T18" s="62" t="str"/>
      <x:c r="U18" s="31" t="str"/>
      <x:c r="V18" s="65"/>
      <x:c r="W18" s="31" t="str">
        <x:f>IF(AND(O18="COMPLETE",P18&lt;&gt;"",P18&lt;&gt;"DEFER"),"YES","NO")</x:f>
        <x:v>NO</x:v>
      </x:c>
      <x:c r="X18" s="31" t="str">
        <x:v>https://raw.githubusercontent.com/WFCD/warframe-items/f7c69c0786611df81214cabf588160d7af9cc80c/data/json/Arcanes.json</x:v>
      </x:c>
      <x:c r="Y18" s="31" t="str">
        <x:v>f40d0d19-c224-47f8-9ef2-c225f42e91d0</x:v>
      </x:c>
    </x:row>
    <x:row r="19">
      <x:c r="A19" s="31" t="str">
        <x:v>ARC-0012</x:v>
      </x:c>
      <x:c r="B19" s="31" t="str">
        <x:v>P1</x:v>
      </x:c>
      <x:c r="C19" s="31" t="str">
        <x:v>YES</x:v>
      </x:c>
      <x:c r="D19" s="31" t="str">
        <x:v>GU_MISSING</x:v>
      </x:c>
      <x:c r="E19" s="31" t="str">
        <x:v>UNMATCHED</x:v>
      </x:c>
      <x:c r="F19" s="31" t="str"/>
      <x:c r="G19" s="31" t="str"/>
      <x:c r="H19" s="31" t="str">
        <x:v>Melee Assimilation</x:v>
      </x:c>
      <x:c r="I19" s="31" t="str">
        <x:v>/Lotus/Upgrades/CosmeticEnhancers/Offensive/HeavyAttackDamageAndShieldOnShieldBreak</x:v>
      </x:c>
      <x:c r="J19" s="31" t="str">
        <x:v>VALID</x:v>
      </x:c>
      <x:c r="K19" s="31" t="str">
        <x:v>canonical_entity</x:v>
      </x:c>
      <x:c r="L19" s="62" t="str">
        <x:v>canonical_entity: Gu=∅ | WFCD=Melee Assimilation | reason=NO_CANONICAL_STABLE_ID_NAME_OR_APPROVED_ALIAS_MATCH</x:v>
      </x:c>
      <x:c r="M19" s="62" t="str">
        <x:v>Verify the upstream entity is player-facing and belongs in Gu before adding a canonical row.</x:v>
      </x:c>
      <x:c r="N19" s="62" t="str">
        <x:v>In-game UI screenshot plus exact displayed name/type/rank/effect where available.</x:v>
      </x:c>
      <x:c r="O19" s="31" t="str">
        <x:v>NOT_STARTED</x:v>
      </x:c>
      <x:c r="P19" s="31" t="str"/>
      <x:c r="Q19" s="31" t="str">
        <x:v>Melee Assimilation</x:v>
      </x:c>
      <x:c r="R19" s="31" t="str">
        <x:v>/Lotus/Upgrades/CosmeticEnhancers/Offensive/HeavyAttackDamageAndShieldOnShieldBreak</x:v>
      </x:c>
      <x:c r="S19" s="62" t="str"/>
      <x:c r="T19" s="62" t="str"/>
      <x:c r="U19" s="31" t="str"/>
      <x:c r="V19" s="65"/>
      <x:c r="W19" s="31" t="str">
        <x:f>IF(AND(O19="COMPLETE",P19&lt;&gt;"",P19&lt;&gt;"DEFER"),"YES","NO")</x:f>
        <x:v>NO</x:v>
      </x:c>
      <x:c r="X19" s="31" t="str">
        <x:v>https://raw.githubusercontent.com/WFCD/warframe-items/f7c69c0786611df81214cabf588160d7af9cc80c/data/json/Arcanes.json</x:v>
      </x:c>
      <x:c r="Y19" s="31" t="str">
        <x:v>f40d0d19-c224-47f8-9ef2-c225f42e91d0</x:v>
      </x:c>
    </x:row>
    <x:row r="20">
      <x:c r="A20" s="31" t="str">
        <x:v>ARC-0013</x:v>
      </x:c>
      <x:c r="B20" s="31" t="str">
        <x:v>P1</x:v>
      </x:c>
      <x:c r="C20" s="31" t="str">
        <x:v>YES</x:v>
      </x:c>
      <x:c r="D20" s="31" t="str">
        <x:v>GU_MISSING</x:v>
      </x:c>
      <x:c r="E20" s="31" t="str">
        <x:v>UNMATCHED</x:v>
      </x:c>
      <x:c r="F20" s="31" t="str"/>
      <x:c r="G20" s="31" t="str"/>
      <x:c r="H20" s="31" t="str">
        <x:v>Primary Compression</x:v>
      </x:c>
      <x:c r="I20" s="31" t="str">
        <x:v>/Lotus/Upgrades/CosmeticEnhancers/Utility/ConvergeRadialAttackOnAim</x:v>
      </x:c>
      <x:c r="J20" s="31" t="str">
        <x:v>VALID</x:v>
      </x:c>
      <x:c r="K20" s="31" t="str">
        <x:v>canonical_entity</x:v>
      </x:c>
      <x:c r="L20" s="62" t="str">
        <x:v>canonical_entity: Gu=∅ | WFCD=Primary Compression | reason=NO_CANONICAL_STABLE_ID_NAME_OR_APPROVED_ALIAS_MATCH</x:v>
      </x:c>
      <x:c r="M20" s="62" t="str">
        <x:v>Verify the upstream entity is player-facing and belongs in Gu before adding a canonical row.</x:v>
      </x:c>
      <x:c r="N20" s="62" t="str">
        <x:v>In-game UI screenshot plus exact displayed name/type/rank/effect where available.</x:v>
      </x:c>
      <x:c r="O20" s="31" t="str">
        <x:v>NOT_STARTED</x:v>
      </x:c>
      <x:c r="P20" s="31" t="str"/>
      <x:c r="Q20" s="31" t="str">
        <x:v>Primary Compression</x:v>
      </x:c>
      <x:c r="R20" s="31" t="str">
        <x:v>/Lotus/Upgrades/CosmeticEnhancers/Utility/ConvergeRadialAttackOnAim</x:v>
      </x:c>
      <x:c r="S20" s="62" t="str"/>
      <x:c r="T20" s="62" t="str"/>
      <x:c r="U20" s="31" t="str"/>
      <x:c r="V20" s="65"/>
      <x:c r="W20" s="31" t="str">
        <x:f>IF(AND(O20="COMPLETE",P20&lt;&gt;"",P20&lt;&gt;"DEFER"),"YES","NO")</x:f>
        <x:v>NO</x:v>
      </x:c>
      <x:c r="X20" s="31" t="str">
        <x:v>https://raw.githubusercontent.com/WFCD/warframe-items/f7c69c0786611df81214cabf588160d7af9cc80c/data/json/Arcanes.json</x:v>
      </x:c>
      <x:c r="Y20" s="31" t="str">
        <x:v>f40d0d19-c224-47f8-9ef2-c225f42e91d0</x:v>
      </x:c>
    </x:row>
    <x:row r="21">
      <x:c r="A21" s="31" t="str">
        <x:v>ARC-0014</x:v>
      </x:c>
      <x:c r="B21" s="31" t="str">
        <x:v>P1</x:v>
      </x:c>
      <x:c r="C21" s="31" t="str">
        <x:v>YES</x:v>
      </x:c>
      <x:c r="D21" s="31" t="str">
        <x:v>GU_MISSING</x:v>
      </x:c>
      <x:c r="E21" s="31" t="str">
        <x:v>UNMATCHED</x:v>
      </x:c>
      <x:c r="F21" s="31" t="str"/>
      <x:c r="G21" s="31" t="str"/>
      <x:c r="H21" s="31" t="str">
        <x:v>Secondary Cryogenic</x:v>
      </x:c>
      <x:c r="I21" s="31" t="str">
        <x:v>/Lotus/Upgrades/CosmeticEnhancers/Offensive/SecondaryColdOnPuncture</x:v>
      </x:c>
      <x:c r="J21" s="31" t="str">
        <x:v>VALID</x:v>
      </x:c>
      <x:c r="K21" s="31" t="str">
        <x:v>canonical_entity</x:v>
      </x:c>
      <x:c r="L21" s="62" t="str">
        <x:v>canonical_entity: Gu=∅ | WFCD=Secondary Cryogenic | reason=NO_CANONICAL_STABLE_ID_NAME_OR_APPROVED_ALIAS_MATCH</x:v>
      </x:c>
      <x:c r="M21" s="62" t="str">
        <x:v>Verify the upstream entity is player-facing and belongs in Gu before adding a canonical row.</x:v>
      </x:c>
      <x:c r="N21" s="62" t="str">
        <x:v>In-game UI screenshot plus exact displayed name/type/rank/effect where available.</x:v>
      </x:c>
      <x:c r="O21" s="31" t="str">
        <x:v>NOT_STARTED</x:v>
      </x:c>
      <x:c r="P21" s="31" t="str"/>
      <x:c r="Q21" s="31" t="str">
        <x:v>Secondary Cryogenic</x:v>
      </x:c>
      <x:c r="R21" s="31" t="str">
        <x:v>/Lotus/Upgrades/CosmeticEnhancers/Offensive/SecondaryColdOnPuncture</x:v>
      </x:c>
      <x:c r="S21" s="62" t="str"/>
      <x:c r="T21" s="62" t="str"/>
      <x:c r="U21" s="31" t="str"/>
      <x:c r="V21" s="65"/>
      <x:c r="W21" s="31" t="str">
        <x:f>IF(AND(O21="COMPLETE",P21&lt;&gt;"",P21&lt;&gt;"DEFER"),"YES","NO")</x:f>
        <x:v>NO</x:v>
      </x:c>
      <x:c r="X21" s="31" t="str">
        <x:v>https://raw.githubusercontent.com/WFCD/warframe-items/f7c69c0786611df81214cabf588160d7af9cc80c/data/json/Arcanes.json</x:v>
      </x:c>
      <x:c r="Y21" s="31" t="str">
        <x:v>f40d0d19-c224-47f8-9ef2-c225f42e91d0</x:v>
      </x:c>
    </x:row>
    <x:row r="22">
      <x:c r="A22" s="31" t="str">
        <x:v>ARC-0015</x:v>
      </x:c>
      <x:c r="B22" s="31" t="str">
        <x:v>P0</x:v>
      </x:c>
      <x:c r="C22" s="31" t="str">
        <x:v>YES</x:v>
      </x:c>
      <x:c r="D22" s="31" t="str">
        <x:v>GU_EXTRA</x:v>
      </x:c>
      <x:c r="E22" s="31" t="str">
        <x:v>UNMATCHED</x:v>
      </x:c>
      <x:c r="F22" s="31" t="str">
        <x:v>420</x:v>
      </x:c>
      <x:c r="G22" s="31" t="str">
        <x:v>Arcane Trunculence</x:v>
      </x:c>
      <x:c r="H22" s="31" t="str"/>
      <x:c r="I22" s="31" t="str"/>
      <x:c r="J22" s="31" t="str">
        <x:v>VALID</x:v>
      </x:c>
      <x:c r="K22" s="31" t="str">
        <x:v>upstream_entity</x:v>
      </x:c>
      <x:c r="L22" s="62" t="str">
        <x:v>upstream_entity: Gu=Arcane Trunculence | WFCD=∅ | reason=NO_STABLE_ID_NAME_OR_APPROVED_ALIAS_MATCH</x:v>
      </x:c>
      <x:c r="M22" s="62" t="str">
        <x:v>Confirm current spelling and identity; approve an alias only with direct evidence.</x:v>
      </x:c>
      <x:c r="N22" s="62" t="str">
        <x:v>In-game UI screenshot plus exact displayed name/type/rank/effect where available.</x:v>
      </x:c>
      <x:c r="O22" s="31" t="str">
        <x:v>NOT_STARTED</x:v>
      </x:c>
      <x:c r="P22" s="31" t="str"/>
      <x:c r="Q22" s="31" t="str">
        <x:v>Arcane Trunculence</x:v>
      </x:c>
      <x:c r="R22" s="31" t="str"/>
      <x:c r="S22" s="62" t="str"/>
      <x:c r="T22" s="62" t="str"/>
      <x:c r="U22" s="31" t="str"/>
      <x:c r="V22" s="65"/>
      <x:c r="W22" s="31" t="str">
        <x:f>IF(AND(O22="COMPLETE",P22&lt;&gt;"",P22&lt;&gt;"DEFER"),"YES","NO")</x:f>
        <x:v>NO</x:v>
      </x:c>
      <x:c r="X22" s="31" t="str">
        <x:v>https://raw.githubusercontent.com/WFCD/warframe-items/f7c69c0786611df81214cabf588160d7af9cc80c/data/json/Arcanes.json</x:v>
      </x:c>
      <x:c r="Y22" s="31" t="str">
        <x:v>f40d0d19-c224-47f8-9ef2-c225f42e91d0</x:v>
      </x:c>
    </x:row>
    <x:row r="23">
      <x:c r="A23" s="31" t="str">
        <x:v>ARC-0016</x:v>
      </x:c>
      <x:c r="B23" s="31" t="str">
        <x:v>P1</x:v>
      </x:c>
      <x:c r="C23" s="31" t="str">
        <x:v>YES</x:v>
      </x:c>
      <x:c r="D23" s="31" t="str">
        <x:v>GU_EXTRA</x:v>
      </x:c>
      <x:c r="E23" s="31" t="str">
        <x:v>UNMATCHED</x:v>
      </x:c>
      <x:c r="F23" s="31" t="str">
        <x:v>245</x:v>
      </x:c>
      <x:c r="G23" s="31" t="str">
        <x:v>Zid-An Haras</x:v>
      </x:c>
      <x:c r="H23" s="31" t="str"/>
      <x:c r="I23" s="31" t="str"/>
      <x:c r="J23" s="31" t="str">
        <x:v>VALID</x:v>
      </x:c>
      <x:c r="K23" s="31" t="str">
        <x:v>upstream_entity</x:v>
      </x:c>
      <x:c r="L23" s="62" t="str">
        <x:v>upstream_entity: Gu=Zid-An Haras | WFCD=∅ | reason=NO_STABLE_ID_NAME_OR_APPROVED_ALIAS_MATCH</x:v>
      </x:c>
      <x:c r="M23" s="62" t="str">
        <x:v>Verify whether the Gu row is current, renamed, deprecated, or belongs to another family.</x:v>
      </x:c>
      <x:c r="N23" s="62" t="str">
        <x:v>In-game UI screenshot plus exact displayed name/type/rank/effect where available.</x:v>
      </x:c>
      <x:c r="O23" s="31" t="str">
        <x:v>NOT_STARTED</x:v>
      </x:c>
      <x:c r="P23" s="31" t="str"/>
      <x:c r="Q23" s="31" t="str">
        <x:v>Zid-An Haras</x:v>
      </x:c>
      <x:c r="R23" s="31" t="str"/>
      <x:c r="S23" s="62" t="str"/>
      <x:c r="T23" s="62" t="str"/>
      <x:c r="U23" s="31" t="str"/>
      <x:c r="V23" s="65"/>
      <x:c r="W23" s="31" t="str">
        <x:f>IF(AND(O23="COMPLETE",P23&lt;&gt;"",P23&lt;&gt;"DEFER"),"YES","NO")</x:f>
        <x:v>NO</x:v>
      </x:c>
      <x:c r="X23" s="31" t="str">
        <x:v>https://raw.githubusercontent.com/WFCD/warframe-items/f7c69c0786611df81214cabf588160d7af9cc80c/data/json/Arcanes.json</x:v>
      </x:c>
      <x:c r="Y23" s="31" t="str">
        <x:v>f40d0d19-c224-47f8-9ef2-c225f42e91d0</x:v>
      </x:c>
    </x:row>
    <x:row r="24">
      <x:c r="A24" s="31" t="str">
        <x:v>ARC-0017</x:v>
      </x:c>
      <x:c r="B24" s="31" t="str">
        <x:v>P1</x:v>
      </x:c>
      <x:c r="C24" s="31" t="str">
        <x:v>YES</x:v>
      </x:c>
      <x:c r="D24" s="31" t="str">
        <x:v>GU_EXTRA</x:v>
      </x:c>
      <x:c r="E24" s="31" t="str">
        <x:v>UNMATCHED</x:v>
      </x:c>
      <x:c r="F24" s="31" t="str">
        <x:v>248</x:v>
      </x:c>
      <x:c r="G24" s="31" t="str">
        <x:v>Zid-An Osbok</x:v>
      </x:c>
      <x:c r="H24" s="31" t="str"/>
      <x:c r="I24" s="31" t="str"/>
      <x:c r="J24" s="31" t="str">
        <x:v>VALID</x:v>
      </x:c>
      <x:c r="K24" s="31" t="str">
        <x:v>upstream_entity</x:v>
      </x:c>
      <x:c r="L24" s="62" t="str">
        <x:v>upstream_entity: Gu=Zid-An Osbok | WFCD=∅ | reason=NO_STABLE_ID_NAME_OR_APPROVED_ALIAS_MATCH</x:v>
      </x:c>
      <x:c r="M24" s="62" t="str">
        <x:v>Verify whether the Gu row is current, renamed, deprecated, or belongs to another family.</x:v>
      </x:c>
      <x:c r="N24" s="62" t="str">
        <x:v>In-game UI screenshot plus exact displayed name/type/rank/effect where available.</x:v>
      </x:c>
      <x:c r="O24" s="31" t="str">
        <x:v>NOT_STARTED</x:v>
      </x:c>
      <x:c r="P24" s="31" t="str"/>
      <x:c r="Q24" s="31" t="str">
        <x:v>Zid-An Osbok</x:v>
      </x:c>
      <x:c r="R24" s="31" t="str"/>
      <x:c r="S24" s="62" t="str"/>
      <x:c r="T24" s="62" t="str"/>
      <x:c r="U24" s="31" t="str"/>
      <x:c r="V24" s="65"/>
      <x:c r="W24" s="31" t="str">
        <x:f>IF(AND(O24="COMPLETE",P24&lt;&gt;"",P24&lt;&gt;"DEFER"),"YES","NO")</x:f>
        <x:v>NO</x:v>
      </x:c>
      <x:c r="X24" s="31" t="str">
        <x:v>https://raw.githubusercontent.com/WFCD/warframe-items/f7c69c0786611df81214cabf588160d7af9cc80c/data/json/Arcanes.json</x:v>
      </x:c>
      <x:c r="Y24" s="31" t="str">
        <x:v>f40d0d19-c224-47f8-9ef2-c225f42e91d0</x:v>
      </x:c>
    </x:row>
    <x:row r="25">
      <x:c r="A25" s="31" t="str">
        <x:v>ARC-0018</x:v>
      </x:c>
      <x:c r="B25" s="31" t="str">
        <x:v>P1</x:v>
      </x:c>
      <x:c r="C25" s="31" t="str">
        <x:v>YES</x:v>
      </x:c>
      <x:c r="D25" s="31" t="str">
        <x:v>GU_EXTRA</x:v>
      </x:c>
      <x:c r="E25" s="31" t="str">
        <x:v>UNMATCHED</x:v>
      </x:c>
      <x:c r="F25" s="31" t="str">
        <x:v>246</x:v>
      </x:c>
      <x:c r="G25" s="31" t="str">
        <x:v>Zid-An Sek-Eel</x:v>
      </x:c>
      <x:c r="H25" s="31" t="str"/>
      <x:c r="I25" s="31" t="str"/>
      <x:c r="J25" s="31" t="str">
        <x:v>VALID</x:v>
      </x:c>
      <x:c r="K25" s="31" t="str">
        <x:v>upstream_entity</x:v>
      </x:c>
      <x:c r="L25" s="62" t="str">
        <x:v>upstream_entity: Gu=Zid-An Sek-Eel | WFCD=∅ | reason=NO_STABLE_ID_NAME_OR_APPROVED_ALIAS_MATCH</x:v>
      </x:c>
      <x:c r="M25" s="62" t="str">
        <x:v>Verify whether the Gu row is current, renamed, deprecated, or belongs to another family.</x:v>
      </x:c>
      <x:c r="N25" s="62" t="str">
        <x:v>In-game UI screenshot plus exact displayed name/type/rank/effect where available.</x:v>
      </x:c>
      <x:c r="O25" s="31" t="str">
        <x:v>NOT_STARTED</x:v>
      </x:c>
      <x:c r="P25" s="31" t="str"/>
      <x:c r="Q25" s="31" t="str">
        <x:v>Zid-An Sek-Eel</x:v>
      </x:c>
      <x:c r="R25" s="31" t="str"/>
      <x:c r="S25" s="62" t="str"/>
      <x:c r="T25" s="62" t="str"/>
      <x:c r="U25" s="31" t="str"/>
      <x:c r="V25" s="65"/>
      <x:c r="W25" s="31" t="str">
        <x:f>IF(AND(O25="COMPLETE",P25&lt;&gt;"",P25&lt;&gt;"DEFER"),"YES","NO")</x:f>
        <x:v>NO</x:v>
      </x:c>
      <x:c r="X25" s="31" t="str">
        <x:v>https://raw.githubusercontent.com/WFCD/warframe-items/f7c69c0786611df81214cabf588160d7af9cc80c/data/json/Arcanes.json</x:v>
      </x:c>
      <x:c r="Y25" s="31" t="str">
        <x:v>f40d0d19-c224-47f8-9ef2-c225f42e91d0</x:v>
      </x:c>
    </x:row>
    <x:row r="26">
      <x:c r="A26" s="31" t="str">
        <x:v>ARC-0019</x:v>
      </x:c>
      <x:c r="B26" s="31" t="str">
        <x:v>P1</x:v>
      </x:c>
      <x:c r="C26" s="31" t="str">
        <x:v>YES</x:v>
      </x:c>
      <x:c r="D26" s="31" t="str">
        <x:v>GU_EXTRA</x:v>
      </x:c>
      <x:c r="E26" s="31" t="str">
        <x:v>UNMATCHED</x:v>
      </x:c>
      <x:c r="F26" s="31" t="str">
        <x:v>247</x:v>
      </x:c>
      <x:c r="G26" s="31" t="str">
        <x:v>Zid-An Uskos</x:v>
      </x:c>
      <x:c r="H26" s="31" t="str"/>
      <x:c r="I26" s="31" t="str"/>
      <x:c r="J26" s="31" t="str">
        <x:v>VALID</x:v>
      </x:c>
      <x:c r="K26" s="31" t="str">
        <x:v>upstream_entity</x:v>
      </x:c>
      <x:c r="L26" s="62" t="str">
        <x:v>upstream_entity: Gu=Zid-An Uskos | WFCD=∅ | reason=NO_STABLE_ID_NAME_OR_APPROVED_ALIAS_MATCH</x:v>
      </x:c>
      <x:c r="M26" s="62" t="str">
        <x:v>Verify whether the Gu row is current, renamed, deprecated, or belongs to another family.</x:v>
      </x:c>
      <x:c r="N26" s="62" t="str">
        <x:v>In-game UI screenshot plus exact displayed name/type/rank/effect where available.</x:v>
      </x:c>
      <x:c r="O26" s="31" t="str">
        <x:v>NOT_STARTED</x:v>
      </x:c>
      <x:c r="P26" s="31" t="str"/>
      <x:c r="Q26" s="31" t="str">
        <x:v>Zid-An Uskos</x:v>
      </x:c>
      <x:c r="R26" s="31" t="str"/>
      <x:c r="S26" s="62" t="str"/>
      <x:c r="T26" s="62" t="str"/>
      <x:c r="U26" s="31" t="str"/>
      <x:c r="V26" s="65"/>
      <x:c r="W26" s="31" t="str">
        <x:f>IF(AND(O26="COMPLETE",P26&lt;&gt;"",P26&lt;&gt;"DEFER"),"YES","NO")</x:f>
        <x:v>NO</x:v>
      </x:c>
      <x:c r="X26" s="31" t="str">
        <x:v>https://raw.githubusercontent.com/WFCD/warframe-items/f7c69c0786611df81214cabf588160d7af9cc80c/data/json/Arcanes.json</x:v>
      </x:c>
      <x:c r="Y26" s="31" t="str">
        <x:v>f40d0d19-c224-47f8-9ef2-c225f42e91d0</x:v>
      </x:c>
    </x:row>
    <x:row r="27">
      <x:c r="A27" s="31" t="str">
        <x:v>ARC-0020</x:v>
      </x:c>
      <x:c r="B27" s="31" t="str">
        <x:v>P1</x:v>
      </x:c>
      <x:c r="C27" s="31" t="str">
        <x:v>YES</x:v>
      </x:c>
      <x:c r="D27" s="31" t="str">
        <x:v>GU_EXTRA</x:v>
      </x:c>
      <x:c r="E27" s="31" t="str">
        <x:v>UNMATCHED</x:v>
      </x:c>
      <x:c r="F27" s="31" t="str">
        <x:v>399</x:v>
      </x:c>
      <x:c r="G27" s="31" t="str">
        <x:v>Zid-An-Asheir</x:v>
      </x:c>
      <x:c r="H27" s="31" t="str"/>
      <x:c r="I27" s="31" t="str"/>
      <x:c r="J27" s="31" t="str">
        <x:v>VALID</x:v>
      </x:c>
      <x:c r="K27" s="31" t="str">
        <x:v>upstream_entity</x:v>
      </x:c>
      <x:c r="L27" s="62" t="str">
        <x:v>upstream_entity: Gu=Zid-An-Asheir | WFCD=∅ | reason=NO_STABLE_ID_NAME_OR_APPROVED_ALIAS_MATCH</x:v>
      </x:c>
      <x:c r="M27" s="62" t="str">
        <x:v>Verify whether the Gu row is current, renamed, deprecated, or belongs to another family.</x:v>
      </x:c>
      <x:c r="N27" s="62" t="str">
        <x:v>In-game UI screenshot plus exact displayed name/type/rank/effect where available.</x:v>
      </x:c>
      <x:c r="O27" s="31" t="str">
        <x:v>NOT_STARTED</x:v>
      </x:c>
      <x:c r="P27" s="31" t="str"/>
      <x:c r="Q27" s="31" t="str">
        <x:v>Zid-An-Asheir</x:v>
      </x:c>
      <x:c r="R27" s="31" t="str"/>
      <x:c r="S27" s="62" t="str"/>
      <x:c r="T27" s="62" t="str"/>
      <x:c r="U27" s="31" t="str"/>
      <x:c r="V27" s="65"/>
      <x:c r="W27" s="31" t="str">
        <x:f>IF(AND(O27="COMPLETE",P27&lt;&gt;"",P27&lt;&gt;"DEFER"),"YES","NO")</x:f>
        <x:v>NO</x:v>
      </x:c>
      <x:c r="X27" s="31" t="str">
        <x:v>https://raw.githubusercontent.com/WFCD/warframe-items/f7c69c0786611df81214cabf588160d7af9cc80c/data/json/Arcanes.json</x:v>
      </x:c>
      <x:c r="Y27" s="31" t="str">
        <x:v>f40d0d19-c224-47f8-9ef2-c225f42e91d0</x:v>
      </x:c>
    </x:row>
    <x:row r="28">
      <x:c r="A28" s="31" t="str">
        <x:v>ARC-0021</x:v>
      </x:c>
      <x:c r="B28" s="31" t="str">
        <x:v>P2</x:v>
      </x:c>
      <x:c r="C28" s="31" t="str">
        <x:v>NO</x:v>
      </x:c>
      <x:c r="D28" s="31" t="str">
        <x:v>VALUE_MISMATCH</x:v>
      </x:c>
      <x:c r="E28" s="31" t="str">
        <x:v>EXACT_NORMALIZED_NAME</x:v>
      </x:c>
      <x:c r="F28" s="31" t="str">
        <x:v>200</x:v>
      </x:c>
      <x:c r="G28" s="31" t="str">
        <x:v>Akimbo Slip Shot</x:v>
      </x:c>
      <x:c r="H28" s="31" t="str">
        <x:v>Akimbo Slip Shot</x:v>
      </x:c>
      <x:c r="I28" s="31" t="str">
        <x:v>/Lotus/Upgrades/CosmeticEnhancers/Offensive/AmmoEfficiencyOnSliding</x:v>
      </x:c>
      <x:c r="J28" s="31" t="str">
        <x:v>VALID</x:v>
      </x:c>
      <x:c r="K28" s="31" t="str">
        <x:v>unique_name, equipment_type, introduced_update, effect_text</x:v>
      </x:c>
      <x:c r="L28" s="62" t="str">
        <x:v>unique_name: Gu=∅ | WFCD=/Lotus/Upgrades/CosmeticEnhancers/Offensive/AmmoEfficiencyOnSliding | reason=MISSING_OR_DIFFERENT_STABLE_ID
equipment_type: Gu=∅ | WFCD=Secondary Arcane | legacy_subcategory=Akimbo; reason=EQUIPMENT_COMPATIBILITY_IS_SEPARATE_FROM_LEGACY_SUBCATEGORY
introduced_update: Gu=33.5 | WFCD=Update 33.5
effect_text: Gu=Bonus accuracy &amp; damage on slide-fire | WFCD=While sliding or aim gliding: Gain 65% ammo efficiency with Dual Pistols. | comparison=HEURISTIC_TEXT_ONLY</x:v>
      </x:c>
      <x:c r="M28" s="62" t="str">
        <x:v>Batch-review the exact-name identity and provenance fields; no game launch is expected.</x:v>
      </x:c>
      <x:c r="N28" s="62" t="str">
        <x:v>Pinned WFCD payload and current Gu row.</x:v>
      </x:c>
      <x:c r="O28" s="31" t="str">
        <x:v>NOT_STARTED</x:v>
      </x:c>
      <x:c r="P28" s="31" t="str"/>
      <x:c r="Q28" s="31" t="str">
        <x:v>Akimbo Slip Shot</x:v>
      </x:c>
      <x:c r="R28" s="31" t="str">
        <x:v>/Lotus/Upgrades/CosmeticEnhancers/Offensive/AmmoEfficiencyOnSliding</x:v>
      </x:c>
      <x:c r="S28" s="62" t="str"/>
      <x:c r="T28" s="62" t="str"/>
      <x:c r="U28" s="31" t="str"/>
      <x:c r="V28" s="65"/>
      <x:c r="W28" s="31" t="str">
        <x:f>IF(AND(O28="COMPLETE",P28&lt;&gt;"",P28&lt;&gt;"DEFER"),"YES","NO")</x:f>
        <x:v>NO</x:v>
      </x:c>
      <x:c r="X28" s="31" t="str">
        <x:v>https://raw.githubusercontent.com/WFCD/warframe-items/f7c69c0786611df81214cabf588160d7af9cc80c/data/json/Arcanes.json</x:v>
      </x:c>
      <x:c r="Y28" s="31" t="str">
        <x:v>f40d0d19-c224-47f8-9ef2-c225f42e91d0</x:v>
      </x:c>
    </x:row>
    <x:row r="29">
      <x:c r="A29" s="31" t="str">
        <x:v>ARC-0022</x:v>
      </x:c>
      <x:c r="B29" s="31" t="str">
        <x:v>P2</x:v>
      </x:c>
      <x:c r="C29" s="31" t="str">
        <x:v>NO</x:v>
      </x:c>
      <x:c r="D29" s="31" t="str">
        <x:v>VALUE_MISMATCH</x:v>
      </x:c>
      <x:c r="E29" s="31" t="str">
        <x:v>EXACT_NORMALIZED_NAME</x:v>
      </x:c>
      <x:c r="F29" s="31" t="str">
        <x:v>1</x:v>
      </x:c>
      <x:c r="G29" s="31" t="str">
        <x:v>Arcane Acceleration</x:v>
      </x:c>
      <x:c r="H29" s="31" t="str">
        <x:v>Arcane Acceleration</x:v>
      </x:c>
      <x:c r="I29" s="31" t="str">
        <x:v>/Lotus/Upgrades/CosmeticEnhancers/Offensive/LongGunSpeedOnCrit</x:v>
      </x:c>
      <x:c r="J29" s="31" t="str">
        <x:v>VALID</x:v>
      </x:c>
      <x:c r="K29" s="31" t="str">
        <x:v>unique_name, equipment_type, introduced_update, effect_text</x:v>
      </x:c>
      <x:c r="L29" s="62" t="str">
        <x:v>unique_name: Gu=∅ | WFCD=/Lotus/Upgrades/CosmeticEnhancers/Offensive/LongGunSpeedOnCrit | reason=MISSING_OR_DIFFERENT_STABLE_ID
equipment_type: Gu=∅ | WFCD=Warframe Arcane | legacy_subcategory=Eidolon; reason=EQUIPMENT_COMPATIBILITY_IS_SEPARATE_FROM_LEGACY_SUBCATEGORY
introduced_update: Gu=22.14 | WFCD=Update 16.0
effect_text: Gu=+60% Fire Rate for Primary Rifles for 9s | WFCD=On Critical Hit:\n30% chance for +90% Fire Rate to Primary Weapons (Excludes Shotguns) for 9s\n+1 Arcane Revive
+1 Arcane Revive | comparison=HEURISTIC_TEXT_ONLY</x:v>
      </x:c>
      <x:c r="M29" s="62" t="str">
        <x:v>Batch-review the exact-name identity and provenance fields; no game launch is expected.</x:v>
      </x:c>
      <x:c r="N29" s="62" t="str">
        <x:v>Pinned WFCD payload and current Gu row.</x:v>
      </x:c>
      <x:c r="O29" s="31" t="str">
        <x:v>NOT_STARTED</x:v>
      </x:c>
      <x:c r="P29" s="31" t="str"/>
      <x:c r="Q29" s="31" t="str">
        <x:v>Arcane Acceleration</x:v>
      </x:c>
      <x:c r="R29" s="31" t="str">
        <x:v>/Lotus/Upgrades/CosmeticEnhancers/Offensive/LongGunSpeedOnCrit</x:v>
      </x:c>
      <x:c r="S29" s="62" t="str"/>
      <x:c r="T29" s="62" t="str"/>
      <x:c r="U29" s="31" t="str"/>
      <x:c r="V29" s="65"/>
      <x:c r="W29" s="31" t="str">
        <x:f>IF(AND(O29="COMPLETE",P29&lt;&gt;"",P29&lt;&gt;"DEFER"),"YES","NO")</x:f>
        <x:v>NO</x:v>
      </x:c>
      <x:c r="X29" s="31" t="str">
        <x:v>https://raw.githubusercontent.com/WFCD/warframe-items/f7c69c0786611df81214cabf588160d7af9cc80c/data/json/Arcanes.json</x:v>
      </x:c>
      <x:c r="Y29" s="31" t="str">
        <x:v>f40d0d19-c224-47f8-9ef2-c225f42e91d0</x:v>
      </x:c>
    </x:row>
    <x:row r="30">
      <x:c r="A30" s="31" t="str">
        <x:v>ARC-0023</x:v>
      </x:c>
      <x:c r="B30" s="31" t="str">
        <x:v>P0</x:v>
      </x:c>
      <x:c r="C30" s="31" t="str">
        <x:v>YES</x:v>
      </x:c>
      <x:c r="D30" s="31" t="str">
        <x:v>VALUE_MISMATCH</x:v>
      </x:c>
      <x:c r="E30" s="31" t="str">
        <x:v>EXACT_NORMALIZED_NAME</x:v>
      </x:c>
      <x:c r="F30" s="31" t="str">
        <x:v>2</x:v>
      </x:c>
      <x:c r="G30" s="31" t="str">
        <x:v>Arcane Aegis</x:v>
      </x:c>
      <x:c r="H30" s="31" t="str">
        <x:v>Arcane Aegis</x:v>
      </x:c>
      <x:c r="I30" s="31" t="str">
        <x:v>/Lotus/Upgrades/CosmeticEnhancers/Defensive/GolemArcaneShieldRegenOnDamage</x:v>
      </x:c>
      <x:c r="J30" s="31" t="str">
        <x:v>VALID</x:v>
      </x:c>
      <x:c r="K30" s="31" t="str">
        <x:v>unique_name, equipment_type, introduced_update, effect_text</x:v>
      </x:c>
      <x:c r="L30" s="62" t="str">
        <x:v>unique_name: Gu=∅ | WFCD=/Lotus/Upgrades/CosmeticEnhancers/Defensive/GolemArcaneShieldRegenOnDamage | reason=MISSING_OR_DIFFERENT_STABLE_ID
equipment_type: Gu=∅ | WFCD=Warframe Arcane | legacy_subcategory=Eidolon; reason=EQUIPMENT_COMPATIBILITY_IS_SEPARATE_FROM_LEGACY_SUBCATEGORY
introduced_update: Gu=22.14 | WFCD=Update 17.9.1
effect_text: Gu=90% chance on Shield damage: Restore all Shields, then regen at 20/s for 4s | WFCD=On Shield Damaged:\n3% chance for +30% Shield Recharge for 12s\n+1 Arcane Revive
+1 Arcane Revive | comparison=HEURISTIC_TEXT_ONLY</x:v>
      </x:c>
      <x:c r="M30" s="62" t="str">
        <x:v>Compare Gu and current in-game effect text; choose upstream, retain Gu, or defer.</x:v>
      </x:c>
      <x:c r="N30" s="62" t="str">
        <x:v>In-game UI screenshot plus exact displayed name/type/rank/effect where available.</x:v>
      </x:c>
      <x:c r="O30" s="31" t="str">
        <x:v>NOT_STARTED</x:v>
      </x:c>
      <x:c r="P30" s="31" t="str"/>
      <x:c r="Q30" s="31" t="str">
        <x:v>Arcane Aegis</x:v>
      </x:c>
      <x:c r="R30" s="31" t="str">
        <x:v>/Lotus/Upgrades/CosmeticEnhancers/Defensive/GolemArcaneShieldRegenOnDamage</x:v>
      </x:c>
      <x:c r="S30" s="62" t="str"/>
      <x:c r="T30" s="62" t="str"/>
      <x:c r="U30" s="31" t="str"/>
      <x:c r="V30" s="65"/>
      <x:c r="W30" s="31" t="str">
        <x:f>IF(AND(O30="COMPLETE",P30&lt;&gt;"",P30&lt;&gt;"DEFER"),"YES","NO")</x:f>
        <x:v>NO</x:v>
      </x:c>
      <x:c r="X30" s="31" t="str">
        <x:v>https://raw.githubusercontent.com/WFCD/warframe-items/f7c69c0786611df81214cabf588160d7af9cc80c/data/json/Arcanes.json</x:v>
      </x:c>
      <x:c r="Y30" s="31" t="str">
        <x:v>f40d0d19-c224-47f8-9ef2-c225f42e91d0</x:v>
      </x:c>
    </x:row>
    <x:row r="31">
      <x:c r="A31" s="31" t="str">
        <x:v>ARC-0024</x:v>
      </x:c>
      <x:c r="B31" s="31" t="str">
        <x:v>P2</x:v>
      </x:c>
      <x:c r="C31" s="31" t="str">
        <x:v>NO</x:v>
      </x:c>
      <x:c r="D31" s="31" t="str">
        <x:v>VALUE_MISMATCH</x:v>
      </x:c>
      <x:c r="E31" s="31" t="str">
        <x:v>EXACT_NORMALIZED_NAME</x:v>
      </x:c>
      <x:c r="F31" s="31" t="str">
        <x:v>3</x:v>
      </x:c>
      <x:c r="G31" s="31" t="str">
        <x:v>Arcane Agility</x:v>
      </x:c>
      <x:c r="H31" s="31" t="str">
        <x:v>Arcane Agility</x:v>
      </x:c>
      <x:c r="I31" s="31" t="str">
        <x:v>/Lotus/Upgrades/CosmeticEnhancers/Defensive/SpeedOnDamage</x:v>
      </x:c>
      <x:c r="J31" s="31" t="str">
        <x:v>VALID</x:v>
      </x:c>
      <x:c r="K31" s="31" t="str">
        <x:v>unique_name, equipment_type, introduced_update, effect_text</x:v>
      </x:c>
      <x:c r="L31" s="62" t="str">
        <x:v>unique_name: Gu=∅ | WFCD=/Lotus/Upgrades/CosmeticEnhancers/Defensive/SpeedOnDamage | reason=MISSING_OR_DIFFERENT_STABLE_ID
equipment_type: Gu=∅ | WFCD=Warframe Arcane | legacy_subcategory=Eidolon; reason=EQUIPMENT_COMPATIBILITY_IS_SEPARATE_FROM_LEGACY_SUBCATEGORY
introduced_update: Gu=22.14 | WFCD=Update 16.0
effect_text: Gu=+30% Parkour Velocity for 12s | WFCD=On Damaged:\n60% chance for +60% Parkour Velocity for 18s\n+1 Arcane Revive
+1 Arcane Revive | comparison=HEURISTIC_TEXT_ONLY</x:v>
      </x:c>
      <x:c r="M31" s="62" t="str">
        <x:v>Batch-review the exact-name identity and provenance fields; no game launch is expected.</x:v>
      </x:c>
      <x:c r="N31" s="62" t="str">
        <x:v>Pinned WFCD payload and current Gu row.</x:v>
      </x:c>
      <x:c r="O31" s="31" t="str">
        <x:v>NOT_STARTED</x:v>
      </x:c>
      <x:c r="P31" s="31" t="str"/>
      <x:c r="Q31" s="31" t="str">
        <x:v>Arcane Agility</x:v>
      </x:c>
      <x:c r="R31" s="31" t="str">
        <x:v>/Lotus/Upgrades/CosmeticEnhancers/Defensive/SpeedOnDamage</x:v>
      </x:c>
      <x:c r="S31" s="62" t="str"/>
      <x:c r="T31" s="62" t="str"/>
      <x:c r="U31" s="31" t="str"/>
      <x:c r="V31" s="65"/>
      <x:c r="W31" s="31" t="str">
        <x:f>IF(AND(O31="COMPLETE",P31&lt;&gt;"",P31&lt;&gt;"DEFER"),"YES","NO")</x:f>
        <x:v>NO</x:v>
      </x:c>
      <x:c r="X31" s="31" t="str">
        <x:v>https://raw.githubusercontent.com/WFCD/warframe-items/f7c69c0786611df81214cabf588160d7af9cc80c/data/json/Arcanes.json</x:v>
      </x:c>
      <x:c r="Y31" s="31" t="str">
        <x:v>f40d0d19-c224-47f8-9ef2-c225f42e91d0</x:v>
      </x:c>
    </x:row>
    <x:row r="32">
      <x:c r="A32" s="31" t="str">
        <x:v>ARC-0025</x:v>
      </x:c>
      <x:c r="B32" s="31" t="str">
        <x:v>P2</x:v>
      </x:c>
      <x:c r="C32" s="31" t="str">
        <x:v>NO</x:v>
      </x:c>
      <x:c r="D32" s="31" t="str">
        <x:v>VALUE_MISMATCH</x:v>
      </x:c>
      <x:c r="E32" s="31" t="str">
        <x:v>EXACT_NORMALIZED_NAME</x:v>
      </x:c>
      <x:c r="F32" s="31" t="str">
        <x:v>4</x:v>
      </x:c>
      <x:c r="G32" s="31" t="str">
        <x:v>Arcane Arachne</x:v>
      </x:c>
      <x:c r="H32" s="31" t="str">
        <x:v>Arcane Arachne</x:v>
      </x:c>
      <x:c r="I32" s="31" t="str">
        <x:v>/Lotus/Upgrades/CosmeticEnhancers/Utility/GolemArcaneBonusDamageOnWallLatch</x:v>
      </x:c>
      <x:c r="J32" s="31" t="str">
        <x:v>VALID</x:v>
      </x:c>
      <x:c r="K32" s="31" t="str">
        <x:v>unique_name, equipment_type, introduced_update, effect_text</x:v>
      </x:c>
      <x:c r="L32" s="62" t="str">
        <x:v>unique_name: Gu=∅ | WFCD=/Lotus/Upgrades/CosmeticEnhancers/Utility/GolemArcaneBonusDamageOnWallLatch | reason=MISSING_OR_DIFFERENT_STABLE_ID
equipment_type: Gu=∅ | WFCD=Warframe Arcane | legacy_subcategory=Netracell; reason=EQUIPMENT_COMPATIBILITY_IS_SEPARATE_FROM_LEGACY_SUBCATEGORY
introduced_update: Gu=35.0 | WFCD=Update 17.9.1
effect_text: Gu=+150% Weapon Damage while wall-latched; lingers 6s | WFCD=On Wall Latch:\n+150% Damage to Primary and Secondary weapons for 30s\n+1 Arcane Revive
+1 Arcane Revive | comparison=HEURISTIC_TEXT_ONLY</x:v>
      </x:c>
      <x:c r="M32" s="62" t="str">
        <x:v>Batch-review the exact-name identity and provenance fields; no game launch is expected.</x:v>
      </x:c>
      <x:c r="N32" s="62" t="str">
        <x:v>Pinned WFCD payload and current Gu row.</x:v>
      </x:c>
      <x:c r="O32" s="31" t="str">
        <x:v>NOT_STARTED</x:v>
      </x:c>
      <x:c r="P32" s="31" t="str"/>
      <x:c r="Q32" s="31" t="str">
        <x:v>Arcane Arachne</x:v>
      </x:c>
      <x:c r="R32" s="31" t="str">
        <x:v>/Lotus/Upgrades/CosmeticEnhancers/Utility/GolemArcaneBonusDamageOnWallLatch</x:v>
      </x:c>
      <x:c r="S32" s="62" t="str"/>
      <x:c r="T32" s="62" t="str"/>
      <x:c r="U32" s="31" t="str"/>
      <x:c r="V32" s="65"/>
      <x:c r="W32" s="31" t="str">
        <x:f>IF(AND(O32="COMPLETE",P32&lt;&gt;"",P32&lt;&gt;"DEFER"),"YES","NO")</x:f>
        <x:v>NO</x:v>
      </x:c>
      <x:c r="X32" s="31" t="str">
        <x:v>https://raw.githubusercontent.com/WFCD/warframe-items/f7c69c0786611df81214cabf588160d7af9cc80c/data/json/Arcanes.json</x:v>
      </x:c>
      <x:c r="Y32" s="31" t="str">
        <x:v>f40d0d19-c224-47f8-9ef2-c225f42e91d0</x:v>
      </x:c>
    </x:row>
    <x:row r="33">
      <x:c r="A33" s="31" t="str">
        <x:v>ARC-0026</x:v>
      </x:c>
      <x:c r="B33" s="31" t="str">
        <x:v>P2</x:v>
      </x:c>
      <x:c r="C33" s="31" t="str">
        <x:v>NO</x:v>
      </x:c>
      <x:c r="D33" s="31" t="str">
        <x:v>VALUE_MISMATCH</x:v>
      </x:c>
      <x:c r="E33" s="31" t="str">
        <x:v>EXACT_NORMALIZED_NAME</x:v>
      </x:c>
      <x:c r="F33" s="31" t="str">
        <x:v>5</x:v>
      </x:c>
      <x:c r="G33" s="31" t="str">
        <x:v>Arcane Avenger</x:v>
      </x:c>
      <x:c r="H33" s="31" t="str">
        <x:v>Arcane Avenger</x:v>
      </x:c>
      <x:c r="I33" s="31" t="str">
        <x:v>/Lotus/Upgrades/CosmeticEnhancers/Defensive/CritChanceOnDamage</x:v>
      </x:c>
      <x:c r="J33" s="31" t="str">
        <x:v>VALID</x:v>
      </x:c>
      <x:c r="K33" s="31" t="str">
        <x:v>unique_name, equipment_type, introduced_update, effect_text</x:v>
      </x:c>
      <x:c r="L33" s="62" t="str">
        <x:v>unique_name: Gu=∅ | WFCD=/Lotus/Upgrades/CosmeticEnhancers/Defensive/CritChanceOnDamage | reason=MISSING_OR_DIFFERENT_STABLE_ID
equipment_type: Gu=∅ | WFCD=Warframe Arcane | legacy_subcategory=Eidolon; reason=EQUIPMENT_COMPATIBILITY_IS_SEPARATE_FROM_LEGACY_SUBCATEGORY
introduced_update: Gu=22.14 | WFCD=Update 16.0
effect_text: Gu=+45% Critical Chance (additive) for 12s | WFCD=On Damaged:\n21% chance for +45% Critical Chance for 12s\n+1 Arcane Revive
+1 Arcane Revive | comparison=HEURISTIC_TEXT_ONLY</x:v>
      </x:c>
      <x:c r="M33" s="62" t="str">
        <x:v>Batch-review the exact-name identity and provenance fields; no game launch is expected.</x:v>
      </x:c>
      <x:c r="N33" s="62" t="str">
        <x:v>Pinned WFCD payload and current Gu row.</x:v>
      </x:c>
      <x:c r="O33" s="31" t="str">
        <x:v>NOT_STARTED</x:v>
      </x:c>
      <x:c r="P33" s="31" t="str"/>
      <x:c r="Q33" s="31" t="str">
        <x:v>Arcane Avenger</x:v>
      </x:c>
      <x:c r="R33" s="31" t="str">
        <x:v>/Lotus/Upgrades/CosmeticEnhancers/Defensive/CritChanceOnDamage</x:v>
      </x:c>
      <x:c r="S33" s="62" t="str"/>
      <x:c r="T33" s="62" t="str"/>
      <x:c r="U33" s="31" t="str"/>
      <x:c r="V33" s="65"/>
      <x:c r="W33" s="31" t="str">
        <x:f>IF(AND(O33="COMPLETE",P33&lt;&gt;"",P33&lt;&gt;"DEFER"),"YES","NO")</x:f>
        <x:v>NO</x:v>
      </x:c>
      <x:c r="X33" s="31" t="str">
        <x:v>https://raw.githubusercontent.com/WFCD/warframe-items/f7c69c0786611df81214cabf588160d7af9cc80c/data/json/Arcanes.json</x:v>
      </x:c>
      <x:c r="Y33" s="31" t="str">
        <x:v>f40d0d19-c224-47f8-9ef2-c225f42e91d0</x:v>
      </x:c>
    </x:row>
    <x:row r="34">
      <x:c r="A34" s="31" t="str">
        <x:v>ARC-0027</x:v>
      </x:c>
      <x:c r="B34" s="31" t="str">
        <x:v>P2</x:v>
      </x:c>
      <x:c r="C34" s="31" t="str">
        <x:v>NO</x:v>
      </x:c>
      <x:c r="D34" s="31" t="str">
        <x:v>VALUE_MISMATCH</x:v>
      </x:c>
      <x:c r="E34" s="31" t="str">
        <x:v>EXACT_NORMALIZED_NAME</x:v>
      </x:c>
      <x:c r="F34" s="31" t="str">
        <x:v>6</x:v>
      </x:c>
      <x:c r="G34" s="31" t="str">
        <x:v>Arcane Awakening</x:v>
      </x:c>
      <x:c r="H34" s="31" t="str">
        <x:v>Arcane Awakening</x:v>
      </x:c>
      <x:c r="I34" s="31" t="str">
        <x:v>/Lotus/Upgrades/CosmeticEnhancers/Utility/PistolDamageOnReload</x:v>
      </x:c>
      <x:c r="J34" s="31" t="str">
        <x:v>VALID</x:v>
      </x:c>
      <x:c r="K34" s="31" t="str">
        <x:v>unique_name, equipment_type, introduced_update, effect_text</x:v>
      </x:c>
      <x:c r="L34" s="62" t="str">
        <x:v>unique_name: Gu=∅ | WFCD=/Lotus/Upgrades/CosmeticEnhancers/Utility/PistolDamageOnReload | reason=MISSING_OR_DIFFERENT_STABLE_ID
equipment_type: Gu=∅ | WFCD=Warframe Arcane | legacy_subcategory=Eidolon; reason=EQUIPMENT_COMPATIBILITY_IS_SEPARATE_FROM_LEGACY_SUBCATEGORY
introduced_update: Gu=22.14 | WFCD=Update 16.0
effect_text: Gu=+60% Secondary Damage for 12s | WFCD=On Reload:\n60% chance for +150% Damage to Pistols for 24s\n+1 Arcane Revive
+1 Arcane Revive | comparison=HEURISTIC_TEXT_ONLY</x:v>
      </x:c>
      <x:c r="M34" s="62" t="str">
        <x:v>Batch-review the exact-name identity and provenance fields; no game launch is expected.</x:v>
      </x:c>
      <x:c r="N34" s="62" t="str">
        <x:v>Pinned WFCD payload and current Gu row.</x:v>
      </x:c>
      <x:c r="O34" s="31" t="str">
        <x:v>NOT_STARTED</x:v>
      </x:c>
      <x:c r="P34" s="31" t="str"/>
      <x:c r="Q34" s="31" t="str">
        <x:v>Arcane Awakening</x:v>
      </x:c>
      <x:c r="R34" s="31" t="str">
        <x:v>/Lotus/Upgrades/CosmeticEnhancers/Utility/PistolDamageOnReload</x:v>
      </x:c>
      <x:c r="S34" s="62" t="str"/>
      <x:c r="T34" s="62" t="str"/>
      <x:c r="U34" s="31" t="str"/>
      <x:c r="V34" s="65"/>
      <x:c r="W34" s="31" t="str">
        <x:f>IF(AND(O34="COMPLETE",P34&lt;&gt;"",P34&lt;&gt;"DEFER"),"YES","NO")</x:f>
        <x:v>NO</x:v>
      </x:c>
      <x:c r="X34" s="31" t="str">
        <x:v>https://raw.githubusercontent.com/WFCD/warframe-items/f7c69c0786611df81214cabf588160d7af9cc80c/data/json/Arcanes.json</x:v>
      </x:c>
      <x:c r="Y34" s="31" t="str">
        <x:v>f40d0d19-c224-47f8-9ef2-c225f42e91d0</x:v>
      </x:c>
    </x:row>
    <x:row r="35">
      <x:c r="A35" s="31" t="str">
        <x:v>ARC-0028</x:v>
      </x:c>
      <x:c r="B35" s="31" t="str">
        <x:v>P2</x:v>
      </x:c>
      <x:c r="C35" s="31" t="str">
        <x:v>NO</x:v>
      </x:c>
      <x:c r="D35" s="31" t="str">
        <x:v>VALUE_MISMATCH</x:v>
      </x:c>
      <x:c r="E35" s="31" t="str">
        <x:v>EXACT_NORMALIZED_NAME</x:v>
      </x:c>
      <x:c r="F35" s="31" t="str">
        <x:v>7</x:v>
      </x:c>
      <x:c r="G35" s="31" t="str">
        <x:v>Arcane Barrier</x:v>
      </x:c>
      <x:c r="H35" s="31" t="str">
        <x:v>Arcane Barrier</x:v>
      </x:c>
      <x:c r="I35" s="31" t="str">
        <x:v>/Lotus/Upgrades/CosmeticEnhancers/Defensive/InstantShieldOnDamage</x:v>
      </x:c>
      <x:c r="J35" s="31" t="str">
        <x:v>VALID</x:v>
      </x:c>
      <x:c r="K35" s="31" t="str">
        <x:v>unique_name, equipment_type, introduced_update, effect_text</x:v>
      </x:c>
      <x:c r="L35" s="62" t="str">
        <x:v>unique_name: Gu=∅ | WFCD=/Lotus/Upgrades/CosmeticEnhancers/Defensive/InstantShieldOnDamage | reason=MISSING_OR_DIFFERENT_STABLE_ID
equipment_type: Gu=∅ | WFCD=Warframe Arcane | legacy_subcategory=Eidolon; reason=EQUIPMENT_COMPATIBILITY_IS_SEPARATE_FROM_LEGACY_SUBCATEGORY
introduced_update: Gu=22.14 | WFCD=Update 16.0
effect_text: Gu=60% chance: Instantly restore all Shields | WFCD=On Shield Damaged:\n6% chance to instantly restore all Shields\n6s cooldown\n+1 Arcane Revive
+1 Arcane Revive | comparison=HEURISTIC_TEXT_ONLY</x:v>
      </x:c>
      <x:c r="M35" s="62" t="str">
        <x:v>Batch-review the exact-name identity and provenance fields; no game launch is expected.</x:v>
      </x:c>
      <x:c r="N35" s="62" t="str">
        <x:v>Pinned WFCD payload and current Gu row.</x:v>
      </x:c>
      <x:c r="O35" s="31" t="str">
        <x:v>NOT_STARTED</x:v>
      </x:c>
      <x:c r="P35" s="31" t="str"/>
      <x:c r="Q35" s="31" t="str">
        <x:v>Arcane Barrier</x:v>
      </x:c>
      <x:c r="R35" s="31" t="str">
        <x:v>/Lotus/Upgrades/CosmeticEnhancers/Defensive/InstantShieldOnDamage</x:v>
      </x:c>
      <x:c r="S35" s="62" t="str"/>
      <x:c r="T35" s="62" t="str"/>
      <x:c r="U35" s="31" t="str"/>
      <x:c r="V35" s="65"/>
      <x:c r="W35" s="31" t="str">
        <x:f>IF(AND(O35="COMPLETE",P35&lt;&gt;"",P35&lt;&gt;"DEFER"),"YES","NO")</x:f>
        <x:v>NO</x:v>
      </x:c>
      <x:c r="X35" s="31" t="str">
        <x:v>https://raw.githubusercontent.com/WFCD/warframe-items/f7c69c0786611df81214cabf588160d7af9cc80c/data/json/Arcanes.json</x:v>
      </x:c>
      <x:c r="Y35" s="31" t="str">
        <x:v>f40d0d19-c224-47f8-9ef2-c225f42e91d0</x:v>
      </x:c>
    </x:row>
    <x:row r="36">
      <x:c r="A36" s="31" t="str">
        <x:v>ARC-0029</x:v>
      </x:c>
      <x:c r="B36" s="31" t="str">
        <x:v>P0</x:v>
      </x:c>
      <x:c r="C36" s="31" t="str">
        <x:v>YES</x:v>
      </x:c>
      <x:c r="D36" s="31" t="str">
        <x:v>VALUE_MISMATCH</x:v>
      </x:c>
      <x:c r="E36" s="31" t="str">
        <x:v>EXACT_NORMALIZED_NAME</x:v>
      </x:c>
      <x:c r="F36" s="31" t="str">
        <x:v>163</x:v>
      </x:c>
      <x:c r="G36" s="31" t="str">
        <x:v>Arcane Battery</x:v>
      </x:c>
      <x:c r="H36" s="31" t="str">
        <x:v>Arcane Battery</x:v>
      </x:c>
      <x:c r="I36" s="31" t="str">
        <x:v>/Lotus/Upgrades/CosmeticEnhancers/Offensive/MaxEnergyForArmor</x:v>
      </x:c>
      <x:c r="J36" s="31" t="str">
        <x:v>VALID</x:v>
      </x:c>
      <x:c r="K36" s="31" t="str">
        <x:v>unique_name, equipment_type, introduced_update, effect_text</x:v>
      </x:c>
      <x:c r="L36" s="62" t="str">
        <x:v>unique_name: Gu=∅ | WFCD=/Lotus/Upgrades/CosmeticEnhancers/Offensive/MaxEnergyForArmor | reason=MISSING_OR_DIFFERENT_STABLE_ID
equipment_type: Gu=∅ | WFCD=Warframe Arcane | legacy_subcategory=Netracell; reason=EQUIPMENT_COMPATIBILITY_IS_SEPARATE_FROM_LEGACY_SUBCATEGORY
introduced_update: Gu=35.0 | WFCD=Update 36.0
effect_text: Gu=When Overshields are active: abilities cost 0 Energy | WFCD=Gain 0.30 maximum Energy per Armor point, up to 1000 Energy.\n+1 Arcane Revive
+1 Arcane Revive | comparison=HEURISTIC_TEXT_ONLY</x:v>
      </x:c>
      <x:c r="M36" s="62" t="str">
        <x:v>Compare Gu and current in-game effect text; choose upstream, retain Gu, or defer.</x:v>
      </x:c>
      <x:c r="N36" s="62" t="str">
        <x:v>In-game UI screenshot plus exact displayed name/type/rank/effect where available.</x:v>
      </x:c>
      <x:c r="O36" s="31" t="str">
        <x:v>NOT_STARTED</x:v>
      </x:c>
      <x:c r="P36" s="31" t="str"/>
      <x:c r="Q36" s="31" t="str">
        <x:v>Arcane Battery</x:v>
      </x:c>
      <x:c r="R36" s="31" t="str">
        <x:v>/Lotus/Upgrades/CosmeticEnhancers/Offensive/MaxEnergyForArmor</x:v>
      </x:c>
      <x:c r="S36" s="62" t="str"/>
      <x:c r="T36" s="62" t="str"/>
      <x:c r="U36" s="31" t="str"/>
      <x:c r="V36" s="65"/>
      <x:c r="W36" s="31" t="str">
        <x:f>IF(AND(O36="COMPLETE",P36&lt;&gt;"",P36&lt;&gt;"DEFER"),"YES","NO")</x:f>
        <x:v>NO</x:v>
      </x:c>
      <x:c r="X36" s="31" t="str">
        <x:v>https://raw.githubusercontent.com/WFCD/warframe-items/f7c69c0786611df81214cabf588160d7af9cc80c/data/json/Arcanes.json</x:v>
      </x:c>
      <x:c r="Y36" s="31" t="str">
        <x:v>f40d0d19-c224-47f8-9ef2-c225f42e91d0</x:v>
      </x:c>
    </x:row>
    <x:row r="37">
      <x:c r="A37" s="31" t="str">
        <x:v>ARC-0030</x:v>
      </x:c>
      <x:c r="B37" s="31" t="str">
        <x:v>P0</x:v>
      </x:c>
      <x:c r="C37" s="31" t="str">
        <x:v>YES</x:v>
      </x:c>
      <x:c r="D37" s="31" t="str">
        <x:v>VALUE_MISMATCH</x:v>
      </x:c>
      <x:c r="E37" s="31" t="str">
        <x:v>EXACT_NORMALIZED_NAME</x:v>
      </x:c>
      <x:c r="F37" s="31" t="str">
        <x:v>162</x:v>
      </x:c>
      <x:c r="G37" s="31" t="str">
        <x:v>Arcane Bellicose</x:v>
      </x:c>
      <x:c r="H37" s="31" t="str">
        <x:v>Arcane Bellicose</x:v>
      </x:c>
      <x:c r="I37" s="31" t="str">
        <x:v>/Lotus/Upgrades/CosmeticEnhancers/Offensive/AbilityStrengthForMaxHealth</x:v>
      </x:c>
      <x:c r="J37" s="31" t="str">
        <x:v>VALID</x:v>
      </x:c>
      <x:c r="K37" s="31" t="str">
        <x:v>unique_name, equipment_type, introduced_update, effect_text</x:v>
      </x:c>
      <x:c r="L37" s="62" t="str">
        <x:v>unique_name: Gu=∅ | WFCD=/Lotus/Upgrades/CosmeticEnhancers/Offensive/AbilityStrengthForMaxHealth | reason=MISSING_OR_DIFFERENT_STABLE_ID
equipment_type: Gu=∅ | WFCD=Warframe Arcane | legacy_subcategory=Netracell; reason=EQUIPMENT_COMPATIBILITY_IS_SEPARATE_FROM_LEGACY_SUBCATEGORY
introduced_update: Gu=35.0 | WFCD=Update 38.0
effect_text: Gu=+45% Ability Strength for 20s per kill (stacking) | WFCD=Gain 6% Ability Strength for every 250 Max Health up to 72%.\n+1 Arcane Revive
+1 Arcane Revive | comparison=HEURISTIC_TEXT_ONLY</x:v>
      </x:c>
      <x:c r="M37" s="62" t="str">
        <x:v>Compare Gu and current in-game effect text; choose upstream, retain Gu, or defer.</x:v>
      </x:c>
      <x:c r="N37" s="62" t="str">
        <x:v>In-game UI screenshot plus exact displayed name/type/rank/effect where available.</x:v>
      </x:c>
      <x:c r="O37" s="31" t="str">
        <x:v>NOT_STARTED</x:v>
      </x:c>
      <x:c r="P37" s="31" t="str"/>
      <x:c r="Q37" s="31" t="str">
        <x:v>Arcane Bellicose</x:v>
      </x:c>
      <x:c r="R37" s="31" t="str">
        <x:v>/Lotus/Upgrades/CosmeticEnhancers/Offensive/AbilityStrengthForMaxHealth</x:v>
      </x:c>
      <x:c r="S37" s="62" t="str"/>
      <x:c r="T37" s="62" t="str"/>
      <x:c r="U37" s="31" t="str"/>
      <x:c r="V37" s="65"/>
      <x:c r="W37" s="31" t="str">
        <x:f>IF(AND(O37="COMPLETE",P37&lt;&gt;"",P37&lt;&gt;"DEFER"),"YES","NO")</x:f>
        <x:v>NO</x:v>
      </x:c>
      <x:c r="X37" s="31" t="str">
        <x:v>https://raw.githubusercontent.com/WFCD/warframe-items/f7c69c0786611df81214cabf588160d7af9cc80c/data/json/Arcanes.json</x:v>
      </x:c>
      <x:c r="Y37" s="31" t="str">
        <x:v>f40d0d19-c224-47f8-9ef2-c225f42e91d0</x:v>
      </x:c>
    </x:row>
    <x:row r="38">
      <x:c r="A38" s="31" t="str">
        <x:v>ARC-0031</x:v>
      </x:c>
      <x:c r="B38" s="31" t="str">
        <x:v>P2</x:v>
      </x:c>
      <x:c r="C38" s="31" t="str">
        <x:v>NO</x:v>
      </x:c>
      <x:c r="D38" s="31" t="str">
        <x:v>VALUE_MISMATCH</x:v>
      </x:c>
      <x:c r="E38" s="31" t="str">
        <x:v>EXACT_NORMALIZED_NAME</x:v>
      </x:c>
      <x:c r="F38" s="31" t="str">
        <x:v>57</x:v>
      </x:c>
      <x:c r="G38" s="31" t="str">
        <x:v>Arcane Blade Charger</x:v>
      </x:c>
      <x:c r="H38" s="31" t="str">
        <x:v>Arcane Blade Charger</x:v>
      </x:c>
      <x:c r="I38" s="31" t="str">
        <x:v>/Lotus/Upgrades/CosmeticEnhancers/Offensive/MeleeDmgOnRifleKill</x:v>
      </x:c>
      <x:c r="J38" s="31" t="str">
        <x:v>VALID</x:v>
      </x:c>
      <x:c r="K38" s="31" t="str">
        <x:v>unique_name, equipment_type, introduced_update, effect_text</x:v>
      </x:c>
      <x:c r="L38" s="62" t="str">
        <x:v>unique_name: Gu=∅ | WFCD=/Lotus/Upgrades/CosmeticEnhancers/Offensive/MeleeDmgOnRifleKill | reason=MISSING_OR_DIFFERENT_STABLE_ID
equipment_type: Gu=∅ | WFCD=Warframe Arcane | legacy_subcategory=Eidolon; reason=EQUIPMENT_COMPATIBILITY_IS_SEPARATE_FROM_LEGACY_SUBCATEGORY
introduced_update: Gu=25.7.6 | WFCD=Hotfix 25.7.6
effect_text: Gu=+100% Melee Damage for 24s | WFCD=On Primary Weapon Kill:\n30% chance for +300% Melee Damage for 12s\n+1 Arcane Revive
+1 Arcane Revive | comparison=HEURISTIC_TEXT_ONLY</x:v>
      </x:c>
      <x:c r="M38" s="62" t="str">
        <x:v>Batch-review the exact-name identity and provenance fields; no game launch is expected.</x:v>
      </x:c>
      <x:c r="N38" s="62" t="str">
        <x:v>Pinned WFCD payload and current Gu row.</x:v>
      </x:c>
      <x:c r="O38" s="31" t="str">
        <x:v>NOT_STARTED</x:v>
      </x:c>
      <x:c r="P38" s="31" t="str"/>
      <x:c r="Q38" s="31" t="str">
        <x:v>Arcane Blade Charger</x:v>
      </x:c>
      <x:c r="R38" s="31" t="str">
        <x:v>/Lotus/Upgrades/CosmeticEnhancers/Offensive/MeleeDmgOnRifleKill</x:v>
      </x:c>
      <x:c r="S38" s="62" t="str"/>
      <x:c r="T38" s="62" t="str"/>
      <x:c r="U38" s="31" t="str"/>
      <x:c r="V38" s="65"/>
      <x:c r="W38" s="31" t="str">
        <x:f>IF(AND(O38="COMPLETE",P38&lt;&gt;"",P38&lt;&gt;"DEFER"),"YES","NO")</x:f>
        <x:v>NO</x:v>
      </x:c>
      <x:c r="X38" s="31" t="str">
        <x:v>https://raw.githubusercontent.com/WFCD/warframe-items/f7c69c0786611df81214cabf588160d7af9cc80c/data/json/Arcanes.json</x:v>
      </x:c>
      <x:c r="Y38" s="31" t="str">
        <x:v>f40d0d19-c224-47f8-9ef2-c225f42e91d0</x:v>
      </x:c>
    </x:row>
    <x:row r="39">
      <x:c r="A39" s="31" t="str">
        <x:v>ARC-0032</x:v>
      </x:c>
      <x:c r="B39" s="31" t="str">
        <x:v>P2</x:v>
      </x:c>
      <x:c r="C39" s="31" t="str">
        <x:v>NO</x:v>
      </x:c>
      <x:c r="D39" s="31" t="str">
        <x:v>VALUE_MISMATCH</x:v>
      </x:c>
      <x:c r="E39" s="31" t="str">
        <x:v>EXACT_NORMALIZED_NAME</x:v>
      </x:c>
      <x:c r="F39" s="31" t="str">
        <x:v>58</x:v>
      </x:c>
      <x:c r="G39" s="31" t="str">
        <x:v>Arcane Blessing</x:v>
      </x:c>
      <x:c r="H39" s="31" t="str">
        <x:v>Arcane Blessing</x:v>
      </x:c>
      <x:c r="I39" s="31" t="str">
        <x:v>/Lotus/Upgrades/CosmeticEnhancers/Defensive/IncreaseMaxHealthOnHealthPickup</x:v>
      </x:c>
      <x:c r="J39" s="31" t="str">
        <x:v>VALID</x:v>
      </x:c>
      <x:c r="K39" s="31" t="str">
        <x:v>unique_name, equipment_type, introduced_update, effect_text</x:v>
      </x:c>
      <x:c r="L39" s="62" t="str">
        <x:v>unique_name: Gu=∅ | WFCD=/Lotus/Upgrades/CosmeticEnhancers/Defensive/IncreaseMaxHealthOnHealthPickup | reason=MISSING_OR_DIFFERENT_STABLE_ID
equipment_type: Gu=∅ | WFCD=Warframe Arcane | legacy_subcategory=Eidolon; reason=EQUIPMENT_COMPATIBILITY_IS_SEPARATE_FROM_LEGACY_SUBCATEGORY
introduced_update: Gu=22.14 | WFCD=Update 32.2
effect_text: Gu=+900 Max Health for 30s (stackable) | WFCD=On Health Pickup:\n+24 Max Health. Stacks up to 50x.\n+1 Arcane Revive
+1 Arcane Revive | comparison=HEURISTIC_TEXT_ONLY</x:v>
      </x:c>
      <x:c r="M39" s="62" t="str">
        <x:v>Batch-review the exact-name identity and provenance fields; no game launch is expected.</x:v>
      </x:c>
      <x:c r="N39" s="62" t="str">
        <x:v>Pinned WFCD payload and current Gu row.</x:v>
      </x:c>
      <x:c r="O39" s="31" t="str">
        <x:v>NOT_STARTED</x:v>
      </x:c>
      <x:c r="P39" s="31" t="str"/>
      <x:c r="Q39" s="31" t="str">
        <x:v>Arcane Blessing</x:v>
      </x:c>
      <x:c r="R39" s="31" t="str">
        <x:v>/Lotus/Upgrades/CosmeticEnhancers/Defensive/IncreaseMaxHealthOnHealthPickup</x:v>
      </x:c>
      <x:c r="S39" s="62" t="str"/>
      <x:c r="T39" s="62" t="str"/>
      <x:c r="U39" s="31" t="str"/>
      <x:c r="V39" s="65"/>
      <x:c r="W39" s="31" t="str">
        <x:f>IF(AND(O39="COMPLETE",P39&lt;&gt;"",P39&lt;&gt;"DEFER"),"YES","NO")</x:f>
        <x:v>NO</x:v>
      </x:c>
      <x:c r="X39" s="31" t="str">
        <x:v>https://raw.githubusercontent.com/WFCD/warframe-items/f7c69c0786611df81214cabf588160d7af9cc80c/data/json/Arcanes.json</x:v>
      </x:c>
      <x:c r="Y39" s="31" t="str">
        <x:v>f40d0d19-c224-47f8-9ef2-c225f42e91d0</x:v>
      </x:c>
    </x:row>
    <x:row r="40">
      <x:c r="A40" s="31" t="str">
        <x:v>ARC-0033</x:v>
      </x:c>
      <x:c r="B40" s="31" t="str">
        <x:v>P2</x:v>
      </x:c>
      <x:c r="C40" s="31" t="str">
        <x:v>NO</x:v>
      </x:c>
      <x:c r="D40" s="31" t="str">
        <x:v>VALUE_MISMATCH</x:v>
      </x:c>
      <x:c r="E40" s="31" t="str">
        <x:v>EXACT_NORMALIZED_NAME</x:v>
      </x:c>
      <x:c r="F40" s="31" t="str">
        <x:v>59</x:v>
      </x:c>
      <x:c r="G40" s="31" t="str">
        <x:v>Arcane Bodyguard</x:v>
      </x:c>
      <x:c r="H40" s="31" t="str">
        <x:v>Arcane Bodyguard</x:v>
      </x:c>
      <x:c r="I40" s="31" t="str">
        <x:v>/Lotus/Upgrades/CosmeticEnhancers/Offensive/HealCompanionOnSixMeleeKills</x:v>
      </x:c>
      <x:c r="J40" s="31" t="str">
        <x:v>VALID</x:v>
      </x:c>
      <x:c r="K40" s="31" t="str">
        <x:v>unique_name, equipment_type, introduced_update, effect_text</x:v>
      </x:c>
      <x:c r="L40" s="62" t="str">
        <x:v>unique_name: Gu=∅ | WFCD=/Lotus/Upgrades/CosmeticEnhancers/Offensive/HealCompanionOnSixMeleeKills | reason=MISSING_OR_DIFFERENT_STABLE_ID
equipment_type: Gu=∅ | WFCD=Warframe Arcane | legacy_subcategory=Eidolon; reason=EQUIPMENT_COMPATIBILITY_IS_SEPARATE_FROM_LEGACY_SUBCATEGORY
introduced_update: Gu=25.7.6 | WFCD=Hotfix 25.7.6
effect_text: Gu=Companion gains 750 HP regen/s for 10s | WFCD=On 6 Melee Kills within 30s:\nHeal Companion for 900\n+1 Arcane Revive
+1 Arcane Revive | comparison=HEURISTIC_TEXT_ONLY</x:v>
      </x:c>
      <x:c r="M40" s="62" t="str">
        <x:v>Batch-review the exact-name identity and provenance fields; no game launch is expected.</x:v>
      </x:c>
      <x:c r="N40" s="62" t="str">
        <x:v>Pinned WFCD payload and current Gu row.</x:v>
      </x:c>
      <x:c r="O40" s="31" t="str">
        <x:v>NOT_STARTED</x:v>
      </x:c>
      <x:c r="P40" s="31" t="str"/>
      <x:c r="Q40" s="31" t="str">
        <x:v>Arcane Bodyguard</x:v>
      </x:c>
      <x:c r="R40" s="31" t="str">
        <x:v>/Lotus/Upgrades/CosmeticEnhancers/Offensive/HealCompanionOnSixMeleeKills</x:v>
      </x:c>
      <x:c r="S40" s="62" t="str"/>
      <x:c r="T40" s="62" t="str"/>
      <x:c r="U40" s="31" t="str"/>
      <x:c r="V40" s="65"/>
      <x:c r="W40" s="31" t="str">
        <x:f>IF(AND(O40="COMPLETE",P40&lt;&gt;"",P40&lt;&gt;"DEFER"),"YES","NO")</x:f>
        <x:v>NO</x:v>
      </x:c>
      <x:c r="X40" s="31" t="str">
        <x:v>https://raw.githubusercontent.com/WFCD/warframe-items/f7c69c0786611df81214cabf588160d7af9cc80c/data/json/Arcanes.json</x:v>
      </x:c>
      <x:c r="Y40" s="31" t="str">
        <x:v>f40d0d19-c224-47f8-9ef2-c225f42e91d0</x:v>
      </x:c>
    </x:row>
    <x:row r="41">
      <x:c r="A41" s="31" t="str">
        <x:v>ARC-0034</x:v>
      </x:c>
      <x:c r="B41" s="31" t="str">
        <x:v>P0</x:v>
      </x:c>
      <x:c r="C41" s="31" t="str">
        <x:v>YES</x:v>
      </x:c>
      <x:c r="D41" s="31" t="str">
        <x:v>VALUE_MISMATCH</x:v>
      </x:c>
      <x:c r="E41" s="31" t="str">
        <x:v>EXACT_NORMALIZED_NAME</x:v>
      </x:c>
      <x:c r="F41" s="31" t="str">
        <x:v>165</x:v>
      </x:c>
      <x:c r="G41" s="31" t="str">
        <x:v>Arcane Camisado</x:v>
      </x:c>
      <x:c r="H41" s="31" t="str">
        <x:v>Arcane Camisado</x:v>
      </x:c>
      <x:c r="I41" s="31" t="str">
        <x:v>/Lotus/Upgrades/CosmeticEnhancers/Offensive/AbilityStrengthOnSummonAttack</x:v>
      </x:c>
      <x:c r="J41" s="31" t="str">
        <x:v>VALID</x:v>
      </x:c>
      <x:c r="K41" s="31" t="str">
        <x:v>unique_name, equipment_type, introduced_update, effect_text</x:v>
      </x:c>
      <x:c r="L41" s="62" t="str">
        <x:v>unique_name: Gu=∅ | WFCD=/Lotus/Upgrades/CosmeticEnhancers/Offensive/AbilityStrengthOnSummonAttack | reason=MISSING_OR_DIFFERENT_STABLE_ID
equipment_type: Gu=∅ | WFCD=Warframe Arcane | legacy_subcategory=Netracell; reason=EQUIPMENT_COMPATIBILITY_IS_SEPARATE_FROM_LEGACY_SUBCATEGORY
introduced_update: Gu=35.0 | WFCD=Update 38.0
effect_text: Gu=+150% Melee Damage for 20s after finisher | WFCD=Attacks from summoned minions increase Ability Strength by 6% up to 60% on the next Ability Cast. Summons gain 20% Movement Speed.\n+1 Arcane Revive
+1 Arcane Revive | comparison=HEURISTIC_TEXT_ONLY</x:v>
      </x:c>
      <x:c r="M41" s="62" t="str">
        <x:v>Compare Gu and current in-game effect text; choose upstream, retain Gu, or defer.</x:v>
      </x:c>
      <x:c r="N41" s="62" t="str">
        <x:v>In-game UI screenshot plus exact displayed name/type/rank/effect where available.</x:v>
      </x:c>
      <x:c r="O41" s="31" t="str">
        <x:v>NOT_STARTED</x:v>
      </x:c>
      <x:c r="P41" s="31" t="str"/>
      <x:c r="Q41" s="31" t="str">
        <x:v>Arcane Camisado</x:v>
      </x:c>
      <x:c r="R41" s="31" t="str">
        <x:v>/Lotus/Upgrades/CosmeticEnhancers/Offensive/AbilityStrengthOnSummonAttack</x:v>
      </x:c>
      <x:c r="S41" s="62" t="str"/>
      <x:c r="T41" s="62" t="str"/>
      <x:c r="U41" s="31" t="str"/>
      <x:c r="V41" s="65"/>
      <x:c r="W41" s="31" t="str">
        <x:f>IF(AND(O41="COMPLETE",P41&lt;&gt;"",P41&lt;&gt;"DEFER"),"YES","NO")</x:f>
        <x:v>NO</x:v>
      </x:c>
      <x:c r="X41" s="31" t="str">
        <x:v>https://raw.githubusercontent.com/WFCD/warframe-items/f7c69c0786611df81214cabf588160d7af9cc80c/data/json/Arcanes.json</x:v>
      </x:c>
      <x:c r="Y41" s="31" t="str">
        <x:v>f40d0d19-c224-47f8-9ef2-c225f42e91d0</x:v>
      </x:c>
    </x:row>
    <x:row r="42">
      <x:c r="A42" s="31" t="str">
        <x:v>ARC-0035</x:v>
      </x:c>
      <x:c r="B42" s="31" t="str">
        <x:v>P2</x:v>
      </x:c>
      <x:c r="C42" s="31" t="str">
        <x:v>NO</x:v>
      </x:c>
      <x:c r="D42" s="31" t="str">
        <x:v>VALUE_MISMATCH</x:v>
      </x:c>
      <x:c r="E42" s="31" t="str">
        <x:v>EXACT_NORMALIZED_NAME</x:v>
      </x:c>
      <x:c r="F42" s="31" t="str">
        <x:v>170</x:v>
      </x:c>
      <x:c r="G42" s="31" t="str">
        <x:v>Arcane Circumvent</x:v>
      </x:c>
      <x:c r="H42" s="31" t="str">
        <x:v>Arcane Circumvent</x:v>
      </x:c>
      <x:c r="I42" s="31" t="str">
        <x:v>/Lotus/Upgrades/CosmeticEnhancers/Defensive/StealDefensiveStatsOnRoll</x:v>
      </x:c>
      <x:c r="J42" s="31" t="str">
        <x:v>VALID</x:v>
      </x:c>
      <x:c r="K42" s="31" t="str">
        <x:v>unique_name, equipment_type, introduced_update, effect_text</x:v>
      </x:c>
      <x:c r="L42" s="62" t="str">
        <x:v>unique_name: Gu=∅ | WFCD=/Lotus/Upgrades/CosmeticEnhancers/Defensive/StealDefensiveStatsOnRoll | reason=MISSING_OR_DIFFERENT_STABLE_ID
equipment_type: Gu=∅ | WFCD=Warframe Arcane | legacy_subcategory=Descendia; reason=EQUIPMENT_COMPATIBILITY_IS_SEPARATE_FROM_LEGACY_SUBCATEGORY
introduced_update: Gu=41.0 | WFCD=Update 41.0
effect_text: Gu=Steal 50% of enemy defenses (Armor/Shields) for yourself for 20s | WFCD=Roll through enemies to steal 50% of their defenses for yourself. Stolen Armor lasts 15s.\n+1 Arcane Revive
+1 Arcane Revive | comparison=HEURISTIC_TEXT_ONLY</x:v>
      </x:c>
      <x:c r="M42" s="62" t="str">
        <x:v>Batch-review the exact-name identity and provenance fields; no game launch is expected.</x:v>
      </x:c>
      <x:c r="N42" s="62" t="str">
        <x:v>Pinned WFCD payload and current Gu row.</x:v>
      </x:c>
      <x:c r="O42" s="31" t="str">
        <x:v>NOT_STARTED</x:v>
      </x:c>
      <x:c r="P42" s="31" t="str"/>
      <x:c r="Q42" s="31" t="str">
        <x:v>Arcane Circumvent</x:v>
      </x:c>
      <x:c r="R42" s="31" t="str">
        <x:v>/Lotus/Upgrades/CosmeticEnhancers/Defensive/StealDefensiveStatsOnRoll</x:v>
      </x:c>
      <x:c r="S42" s="62" t="str"/>
      <x:c r="T42" s="62" t="str"/>
      <x:c r="U42" s="31" t="str"/>
      <x:c r="V42" s="65"/>
      <x:c r="W42" s="31" t="str">
        <x:f>IF(AND(O42="COMPLETE",P42&lt;&gt;"",P42&lt;&gt;"DEFER"),"YES","NO")</x:f>
        <x:v>NO</x:v>
      </x:c>
      <x:c r="X42" s="31" t="str">
        <x:v>https://raw.githubusercontent.com/WFCD/warframe-items/f7c69c0786611df81214cabf588160d7af9cc80c/data/json/Arcanes.json</x:v>
      </x:c>
      <x:c r="Y42" s="31" t="str">
        <x:v>f40d0d19-c224-47f8-9ef2-c225f42e91d0</x:v>
      </x:c>
    </x:row>
    <x:row r="43">
      <x:c r="A43" s="31" t="str">
        <x:v>ARC-0036</x:v>
      </x:c>
      <x:c r="B43" s="31" t="str">
        <x:v>P2</x:v>
      </x:c>
      <x:c r="C43" s="31" t="str">
        <x:v>NO</x:v>
      </x:c>
      <x:c r="D43" s="31" t="str">
        <x:v>VALUE_MISMATCH</x:v>
      </x:c>
      <x:c r="E43" s="31" t="str">
        <x:v>EXACT_NORMALIZED_NAME</x:v>
      </x:c>
      <x:c r="F43" s="31" t="str">
        <x:v>413</x:v>
      </x:c>
      <x:c r="G43" s="31" t="str">
        <x:v>Arcane Concentration</x:v>
      </x:c>
      <x:c r="H43" s="31" t="str">
        <x:v>Arcane Concentration</x:v>
      </x:c>
      <x:c r="I43" s="31" t="str">
        <x:v>/Lotus/Upgrades/CosmeticEnhancers/Utility/AbilityDurationOnCast</x:v>
      </x:c>
      <x:c r="J43" s="31" t="str">
        <x:v>VALID</x:v>
      </x:c>
      <x:c r="K43" s="31" t="str">
        <x:v>unique_name, equipment_type, introduced_update, effect_text</x:v>
      </x:c>
      <x:c r="L43" s="62" t="str">
        <x:v>unique_name: Gu=∅ | WFCD=/Lotus/Upgrades/CosmeticEnhancers/Utility/AbilityDurationOnCast | reason=MISSING_OR_DIFFERENT_STABLE_ID
equipment_type: Gu=∅ | WFCD=Warframe Arcane | legacy_subcategory=; reason=EQUIPMENT_COMPATIBILITY_IS_SEPARATE_FROM_LEGACY_SUBCATEGORY
introduced_update: Gu=∅ | WFCD=Update 41.0
effect_text: Gu=∅ | WFCD=On Ability Cast:\n+60% Ability Duration for 3s\n+1 Arcane Revive
+1 Arcane Revive | comparison=HEURISTIC_TEXT_ONLY</x:v>
      </x:c>
      <x:c r="M43" s="62" t="str">
        <x:v>Batch-review the exact-name identity and provenance fields; no game launch is expected.</x:v>
      </x:c>
      <x:c r="N43" s="62" t="str">
        <x:v>Pinned WFCD payload and current Gu row.</x:v>
      </x:c>
      <x:c r="O43" s="31" t="str">
        <x:v>NOT_STARTED</x:v>
      </x:c>
      <x:c r="P43" s="31" t="str"/>
      <x:c r="Q43" s="31" t="str">
        <x:v>Arcane Concentration</x:v>
      </x:c>
      <x:c r="R43" s="31" t="str">
        <x:v>/Lotus/Upgrades/CosmeticEnhancers/Utility/AbilityDurationOnCast</x:v>
      </x:c>
      <x:c r="S43" s="62" t="str"/>
      <x:c r="T43" s="62" t="str"/>
      <x:c r="U43" s="31" t="str"/>
      <x:c r="V43" s="65"/>
      <x:c r="W43" s="31" t="str">
        <x:f>IF(AND(O43="COMPLETE",P43&lt;&gt;"",P43&lt;&gt;"DEFER"),"YES","NO")</x:f>
        <x:v>NO</x:v>
      </x:c>
      <x:c r="X43" s="31" t="str">
        <x:v>https://raw.githubusercontent.com/WFCD/warframe-items/f7c69c0786611df81214cabf588160d7af9cc80c/data/json/Arcanes.json</x:v>
      </x:c>
      <x:c r="Y43" s="31" t="str">
        <x:v>f40d0d19-c224-47f8-9ef2-c225f42e91d0</x:v>
      </x:c>
    </x:row>
    <x:row r="44">
      <x:c r="A44" s="31" t="str">
        <x:v>ARC-0037</x:v>
      </x:c>
      <x:c r="B44" s="31" t="str">
        <x:v>P2</x:v>
      </x:c>
      <x:c r="C44" s="31" t="str">
        <x:v>NO</x:v>
      </x:c>
      <x:c r="D44" s="31" t="str">
        <x:v>VALUE_MISMATCH</x:v>
      </x:c>
      <x:c r="E44" s="31" t="str">
        <x:v>EXACT_NORMALIZED_NAME</x:v>
      </x:c>
      <x:c r="F44" s="31" t="str">
        <x:v>8</x:v>
      </x:c>
      <x:c r="G44" s="31" t="str">
        <x:v>Arcane Consequence</x:v>
      </x:c>
      <x:c r="H44" s="31" t="str">
        <x:v>Arcane Consequence</x:v>
      </x:c>
      <x:c r="I44" s="31" t="str">
        <x:v>/Lotus/Upgrades/CosmeticEnhancers/Utility/GolemArcaneAimGlideOnHeadshot</x:v>
      </x:c>
      <x:c r="J44" s="31" t="str">
        <x:v>VALID</x:v>
      </x:c>
      <x:c r="K44" s="31" t="str">
        <x:v>unique_name, equipment_type, introduced_update, effect_text</x:v>
      </x:c>
      <x:c r="L44" s="62" t="str">
        <x:v>unique_name: Gu=∅ | WFCD=/Lotus/Upgrades/CosmeticEnhancers/Utility/GolemArcaneAimGlideOnHeadshot | reason=MISSING_OR_DIFFERENT_STABLE_ID
equipment_type: Gu=∅ | WFCD=Warframe Arcane | legacy_subcategory=Eidolon; reason=EQUIPMENT_COMPATIBILITY_IS_SEPARATE_FROM_LEGACY_SUBCATEGORY
introduced_update: Gu=22.14 | WFCD=Update 17.9.1
effect_text: Gu=+60% Parkour Velocity for 6s | WFCD=On Headshot:\n+60% Parkour Velocity for 18s\n+1 Arcane Revive
+1 Arcane Revive | comparison=HEURISTIC_TEXT_ONLY</x:v>
      </x:c>
      <x:c r="M44" s="62" t="str">
        <x:v>Batch-review the exact-name identity and provenance fields; no game launch is expected.</x:v>
      </x:c>
      <x:c r="N44" s="62" t="str">
        <x:v>Pinned WFCD payload and current Gu row.</x:v>
      </x:c>
      <x:c r="O44" s="31" t="str">
        <x:v>NOT_STARTED</x:v>
      </x:c>
      <x:c r="P44" s="31" t="str"/>
      <x:c r="Q44" s="31" t="str">
        <x:v>Arcane Consequence</x:v>
      </x:c>
      <x:c r="R44" s="31" t="str">
        <x:v>/Lotus/Upgrades/CosmeticEnhancers/Utility/GolemArcaneAimGlideOnHeadshot</x:v>
      </x:c>
      <x:c r="S44" s="62" t="str"/>
      <x:c r="T44" s="62" t="str"/>
      <x:c r="U44" s="31" t="str"/>
      <x:c r="V44" s="65"/>
      <x:c r="W44" s="31" t="str">
        <x:f>IF(AND(O44="COMPLETE",P44&lt;&gt;"",P44&lt;&gt;"DEFER"),"YES","NO")</x:f>
        <x:v>NO</x:v>
      </x:c>
      <x:c r="X44" s="31" t="str">
        <x:v>https://raw.githubusercontent.com/WFCD/warframe-items/f7c69c0786611df81214cabf588160d7af9cc80c/data/json/Arcanes.json</x:v>
      </x:c>
      <x:c r="Y44" s="31" t="str">
        <x:v>f40d0d19-c224-47f8-9ef2-c225f42e91d0</x:v>
      </x:c>
    </x:row>
    <x:row r="45">
      <x:c r="A45" s="31" t="str">
        <x:v>ARC-0038</x:v>
      </x:c>
      <x:c r="B45" s="31" t="str">
        <x:v>P2</x:v>
      </x:c>
      <x:c r="C45" s="31" t="str">
        <x:v>NO</x:v>
      </x:c>
      <x:c r="D45" s="31" t="str">
        <x:v>VALUE_MISMATCH</x:v>
      </x:c>
      <x:c r="E45" s="31" t="str">
        <x:v>EXACT_NORMALIZED_NAME</x:v>
      </x:c>
      <x:c r="F45" s="31" t="str">
        <x:v>161</x:v>
      </x:c>
      <x:c r="G45" s="31" t="str">
        <x:v>Arcane Crepuscular</x:v>
      </x:c>
      <x:c r="H45" s="31" t="str">
        <x:v>Arcane Crepuscular</x:v>
      </x:c>
      <x:c r="I45" s="31" t="str">
        <x:v>/Lotus/Upgrades/CosmeticEnhancers/Utility/AbilityStrengthAndCritDamageWhenInvisible</x:v>
      </x:c>
      <x:c r="J45" s="31" t="str">
        <x:v>VALID</x:v>
      </x:c>
      <x:c r="K45" s="31" t="str">
        <x:v>unique_name, equipment_type, introduced_update, effect_text</x:v>
      </x:c>
      <x:c r="L45" s="62" t="str">
        <x:v>unique_name: Gu=∅ | WFCD=/Lotus/Upgrades/CosmeticEnhancers/Utility/AbilityStrengthAndCritDamageWhenInvisible | reason=MISSING_OR_DIFFERENT_STABLE_ID
equipment_type: Gu=∅ | WFCD=Warframe Arcane | legacy_subcategory=Netracell; reason=EQUIPMENT_COMPATIBILITY_IS_SEPARATE_FROM_LEGACY_SUBCATEGORY
introduced_update: Gu=35.0 | WFCD=Update 38.0
effect_text: Gu=+30% Ability Damage per Ability kill; max +150% for 30s | WFCD=While invisible, gain +30% Ability Strength and +3x Final Critical Damage.\n+1 Arcane Revive
+1 Arcane Revive | comparison=HEURISTIC_TEXT_ONLY</x:v>
      </x:c>
      <x:c r="M45" s="62" t="str">
        <x:v>Batch-review the exact-name identity and provenance fields; no game launch is expected.</x:v>
      </x:c>
      <x:c r="N45" s="62" t="str">
        <x:v>Pinned WFCD payload and current Gu row.</x:v>
      </x:c>
      <x:c r="O45" s="31" t="str">
        <x:v>NOT_STARTED</x:v>
      </x:c>
      <x:c r="P45" s="31" t="str"/>
      <x:c r="Q45" s="31" t="str">
        <x:v>Arcane Crepuscular</x:v>
      </x:c>
      <x:c r="R45" s="31" t="str">
        <x:v>/Lotus/Upgrades/CosmeticEnhancers/Utility/AbilityStrengthAndCritDamageWhenInvisible</x:v>
      </x:c>
      <x:c r="S45" s="62" t="str"/>
      <x:c r="T45" s="62" t="str"/>
      <x:c r="U45" s="31" t="str"/>
      <x:c r="V45" s="65"/>
      <x:c r="W45" s="31" t="str">
        <x:f>IF(AND(O45="COMPLETE",P45&lt;&gt;"",P45&lt;&gt;"DEFER"),"YES","NO")</x:f>
        <x:v>NO</x:v>
      </x:c>
      <x:c r="X45" s="31" t="str">
        <x:v>https://raw.githubusercontent.com/WFCD/warframe-items/f7c69c0786611df81214cabf588160d7af9cc80c/data/json/Arcanes.json</x:v>
      </x:c>
      <x:c r="Y45" s="31" t="str">
        <x:v>f40d0d19-c224-47f8-9ef2-c225f42e91d0</x:v>
      </x:c>
    </x:row>
    <x:row r="46">
      <x:c r="A46" s="31" t="str">
        <x:v>ARC-0039</x:v>
      </x:c>
      <x:c r="B46" s="31" t="str">
        <x:v>P2</x:v>
      </x:c>
      <x:c r="C46" s="31" t="str">
        <x:v>NO</x:v>
      </x:c>
      <x:c r="D46" s="31" t="str">
        <x:v>VALUE_MISMATCH</x:v>
      </x:c>
      <x:c r="E46" s="31" t="str">
        <x:v>EXACT_NORMALIZED_NAME</x:v>
      </x:c>
      <x:c r="F46" s="31" t="str">
        <x:v>9</x:v>
      </x:c>
      <x:c r="G46" s="31" t="str">
        <x:v>Arcane Deflection</x:v>
      </x:c>
      <x:c r="H46" s="31" t="str">
        <x:v>Arcane Deflection</x:v>
      </x:c>
      <x:c r="I46" s="31" t="str">
        <x:v>/Lotus/Upgrades/CosmeticEnhancers/Defensive/SlashProcResist</x:v>
      </x:c>
      <x:c r="J46" s="31" t="str">
        <x:v>VALID</x:v>
      </x:c>
      <x:c r="K46" s="31" t="str">
        <x:v>unique_name, equipment_type, introduced_update, effect_text</x:v>
      </x:c>
      <x:c r="L46" s="62" t="str">
        <x:v>unique_name: Gu=∅ | WFCD=/Lotus/Upgrades/CosmeticEnhancers/Defensive/SlashProcResist | reason=MISSING_OR_DIFFERENT_STABLE_ID
equipment_type: Gu=∅ | WFCD=Warframe Arcane | legacy_subcategory=Eidolon; reason=EQUIPMENT_COMPATIBILITY_IS_SEPARATE_FROM_LEGACY_SUBCATEGORY
introduced_update: Gu=22.14 | WFCD=Update 16.0
effect_text: Gu=+60% chance to negate a Slash Status on Shields | WFCD=+102% chance to resist a &lt;DT_SLASH_COLOR&gt;Slash Status effect.
+1 Arcane Revive | comparison=HEURISTIC_TEXT_ONLY</x:v>
      </x:c>
      <x:c r="M46" s="62" t="str">
        <x:v>Batch-review the exact-name identity and provenance fields; no game launch is expected.</x:v>
      </x:c>
      <x:c r="N46" s="62" t="str">
        <x:v>Pinned WFCD payload and current Gu row.</x:v>
      </x:c>
      <x:c r="O46" s="31" t="str">
        <x:v>NOT_STARTED</x:v>
      </x:c>
      <x:c r="P46" s="31" t="str"/>
      <x:c r="Q46" s="31" t="str">
        <x:v>Arcane Deflection</x:v>
      </x:c>
      <x:c r="R46" s="31" t="str">
        <x:v>/Lotus/Upgrades/CosmeticEnhancers/Defensive/SlashProcResist</x:v>
      </x:c>
      <x:c r="S46" s="62" t="str"/>
      <x:c r="T46" s="62" t="str"/>
      <x:c r="U46" s="31" t="str"/>
      <x:c r="V46" s="65"/>
      <x:c r="W46" s="31" t="str">
        <x:f>IF(AND(O46="COMPLETE",P46&lt;&gt;"",P46&lt;&gt;"DEFER"),"YES","NO")</x:f>
        <x:v>NO</x:v>
      </x:c>
      <x:c r="X46" s="31" t="str">
        <x:v>https://raw.githubusercontent.com/WFCD/warframe-items/f7c69c0786611df81214cabf588160d7af9cc80c/data/json/Arcanes.json</x:v>
      </x:c>
      <x:c r="Y46" s="31" t="str">
        <x:v>f40d0d19-c224-47f8-9ef2-c225f42e91d0</x:v>
      </x:c>
    </x:row>
    <x:row r="47">
      <x:c r="A47" s="31" t="str">
        <x:v>ARC-0040</x:v>
      </x:c>
      <x:c r="B47" s="31" t="str">
        <x:v>P2</x:v>
      </x:c>
      <x:c r="C47" s="31" t="str">
        <x:v>NO</x:v>
      </x:c>
      <x:c r="D47" s="31" t="str">
        <x:v>VALUE_MISMATCH</x:v>
      </x:c>
      <x:c r="E47" s="31" t="str">
        <x:v>EXACT_NORMALIZED_NAME</x:v>
      </x:c>
      <x:c r="F47" s="31" t="str">
        <x:v>164</x:v>
      </x:c>
      <x:c r="G47" s="31" t="str">
        <x:v>Arcane Double Back</x:v>
      </x:c>
      <x:c r="H47" s="31" t="str">
        <x:v>Arcane Double Back</x:v>
      </x:c>
      <x:c r="I47" s="31" t="str">
        <x:v>/Lotus/Upgrades/CosmeticEnhancers/Defensive/DamageResistanceStacksOverTime</x:v>
      </x:c>
      <x:c r="J47" s="31" t="str">
        <x:v>VALID</x:v>
      </x:c>
      <x:c r="K47" s="31" t="str">
        <x:v>unique_name, equipment_type, introduced_update, effect_text</x:v>
      </x:c>
      <x:c r="L47" s="62" t="str">
        <x:v>unique_name: Gu=∅ | WFCD=/Lotus/Upgrades/CosmeticEnhancers/Defensive/DamageResistanceStacksOverTime | reason=MISSING_OR_DIFFERENT_STABLE_ID
equipment_type: Gu=∅ | WFCD=Warframe Arcane | legacy_subcategory=Netracell; reason=EQUIPMENT_COMPATIBILITY_IS_SEPARATE_FROM_LEGACY_SUBCATEGORY
introduced_update: Gu=35.0 | WFCD=Update 32.3
effect_text: Gu=60% chance to negate a Knockdown per roll | WFCD=Gain +25% damage resistance for 4s per Dodge, Double Jump and Bullet Jump. Stacks up to 3x.
+1 Arcane Revive | comparison=HEURISTIC_TEXT_ONLY</x:v>
      </x:c>
      <x:c r="M47" s="62" t="str">
        <x:v>Batch-review the exact-name identity and provenance fields; no game launch is expected.</x:v>
      </x:c>
      <x:c r="N47" s="62" t="str">
        <x:v>Pinned WFCD payload and current Gu row.</x:v>
      </x:c>
      <x:c r="O47" s="31" t="str">
        <x:v>NOT_STARTED</x:v>
      </x:c>
      <x:c r="P47" s="31" t="str"/>
      <x:c r="Q47" s="31" t="str">
        <x:v>Arcane Double Back</x:v>
      </x:c>
      <x:c r="R47" s="31" t="str">
        <x:v>/Lotus/Upgrades/CosmeticEnhancers/Defensive/DamageResistanceStacksOverTime</x:v>
      </x:c>
      <x:c r="S47" s="62" t="str"/>
      <x:c r="T47" s="62" t="str"/>
      <x:c r="U47" s="31" t="str"/>
      <x:c r="V47" s="65"/>
      <x:c r="W47" s="31" t="str">
        <x:f>IF(AND(O47="COMPLETE",P47&lt;&gt;"",P47&lt;&gt;"DEFER"),"YES","NO")</x:f>
        <x:v>NO</x:v>
      </x:c>
      <x:c r="X47" s="31" t="str">
        <x:v>https://raw.githubusercontent.com/WFCD/warframe-items/f7c69c0786611df81214cabf588160d7af9cc80c/data/json/Arcanes.json</x:v>
      </x:c>
      <x:c r="Y47" s="31" t="str">
        <x:v>f40d0d19-c224-47f8-9ef2-c225f42e91d0</x:v>
      </x:c>
    </x:row>
    <x:row r="48">
      <x:c r="A48" s="31" t="str">
        <x:v>ARC-0041</x:v>
      </x:c>
      <x:c r="B48" s="31" t="str">
        <x:v>P2</x:v>
      </x:c>
      <x:c r="C48" s="31" t="str">
        <x:v>NO</x:v>
      </x:c>
      <x:c r="D48" s="31" t="str">
        <x:v>VALUE_MISMATCH</x:v>
      </x:c>
      <x:c r="E48" s="31" t="str">
        <x:v>EXACT_NORMALIZED_NAME</x:v>
      </x:c>
      <x:c r="F48" s="31" t="str">
        <x:v>10</x:v>
      </x:c>
      <x:c r="G48" s="31" t="str">
        <x:v>Arcane Energize</x:v>
      </x:c>
      <x:c r="H48" s="31" t="str">
        <x:v>Arcane Energize</x:v>
      </x:c>
      <x:c r="I48" s="31" t="str">
        <x:v>/Lotus/Upgrades/CosmeticEnhancers/Utility/GolemArcaneRadialEnergyOnEnergyPickup</x:v>
      </x:c>
      <x:c r="J48" s="31" t="str">
        <x:v>VALID</x:v>
      </x:c>
      <x:c r="K48" s="31" t="str">
        <x:v>unique_name, equipment_type, introduced_update, effect_text</x:v>
      </x:c>
      <x:c r="L48" s="62" t="str">
        <x:v>unique_name: Gu=∅ | WFCD=/Lotus/Upgrades/CosmeticEnhancers/Utility/GolemArcaneRadialEnergyOnEnergyPickup | reason=MISSING_OR_DIFFERENT_STABLE_ID
equipment_type: Gu=∅ | WFCD=Warframe Arcane | legacy_subcategory=Eidolon; reason=EQUIPMENT_COMPATIBILITY_IS_SEPARATE_FROM_LEGACY_SUBCATEGORY
introduced_update: Gu=22.14 | WFCD=Update 17.9.1
effect_text: Gu=60% chance: +150 Energy to self &amp; allies in range | WFCD=On Energy Pickup:\n60% chance to replenish 150 Energy to self and allies within 15m\n15s cooldown\n+1 Arcane Revive
+1 Arcane Revive | comparison=HEURISTIC_TEXT_ONLY</x:v>
      </x:c>
      <x:c r="M48" s="62" t="str">
        <x:v>Batch-review the exact-name identity and provenance fields; no game launch is expected.</x:v>
      </x:c>
      <x:c r="N48" s="62" t="str">
        <x:v>Pinned WFCD payload and current Gu row.</x:v>
      </x:c>
      <x:c r="O48" s="31" t="str">
        <x:v>NOT_STARTED</x:v>
      </x:c>
      <x:c r="P48" s="31" t="str"/>
      <x:c r="Q48" s="31" t="str">
        <x:v>Arcane Energize</x:v>
      </x:c>
      <x:c r="R48" s="31" t="str">
        <x:v>/Lotus/Upgrades/CosmeticEnhancers/Utility/GolemArcaneRadialEnergyOnEnergyPickup</x:v>
      </x:c>
      <x:c r="S48" s="62" t="str"/>
      <x:c r="T48" s="62" t="str"/>
      <x:c r="U48" s="31" t="str"/>
      <x:c r="V48" s="65"/>
      <x:c r="W48" s="31" t="str">
        <x:f>IF(AND(O48="COMPLETE",P48&lt;&gt;"",P48&lt;&gt;"DEFER"),"YES","NO")</x:f>
        <x:v>NO</x:v>
      </x:c>
      <x:c r="X48" s="31" t="str">
        <x:v>https://raw.githubusercontent.com/WFCD/warframe-items/f7c69c0786611df81214cabf588160d7af9cc80c/data/json/Arcanes.json</x:v>
      </x:c>
      <x:c r="Y48" s="31" t="str">
        <x:v>f40d0d19-c224-47f8-9ef2-c225f42e91d0</x:v>
      </x:c>
    </x:row>
    <x:row r="49">
      <x:c r="A49" s="31" t="str">
        <x:v>ARC-0042</x:v>
      </x:c>
      <x:c r="B49" s="31" t="str">
        <x:v>P2</x:v>
      </x:c>
      <x:c r="C49" s="31" t="str">
        <x:v>NO</x:v>
      </x:c>
      <x:c r="D49" s="31" t="str">
        <x:v>VALUE_MISMATCH</x:v>
      </x:c>
      <x:c r="E49" s="31" t="str">
        <x:v>EXACT_NORMALIZED_NAME</x:v>
      </x:c>
      <x:c r="F49" s="31" t="str">
        <x:v>11</x:v>
      </x:c>
      <x:c r="G49" s="31" t="str">
        <x:v>Arcane Eruption</x:v>
      </x:c>
      <x:c r="H49" s="31" t="str">
        <x:v>Arcane Eruption</x:v>
      </x:c>
      <x:c r="I49" s="31" t="str">
        <x:v>/Lotus/Upgrades/CosmeticEnhancers/Utility/RadialKnockdownOnEnergyPickup</x:v>
      </x:c>
      <x:c r="J49" s="31" t="str">
        <x:v>VALID</x:v>
      </x:c>
      <x:c r="K49" s="31" t="str">
        <x:v>unique_name, equipment_type, introduced_update, effect_text</x:v>
      </x:c>
      <x:c r="L49" s="62" t="str">
        <x:v>unique_name: Gu=∅ | WFCD=/Lotus/Upgrades/CosmeticEnhancers/Utility/RadialKnockdownOnEnergyPickup | reason=MISSING_OR_DIFFERENT_STABLE_ID
equipment_type: Gu=∅ | WFCD=Warframe Arcane | legacy_subcategory=Eidolon; reason=EQUIPMENT_COMPATIBILITY_IS_SEPARATE_FROM_LEGACY_SUBCATEGORY
introduced_update: Gu=22.14 | WFCD=Update 16.0
effect_text: Gu=60% chance: Knock down enemies within 15m | WFCD=On Energy Pickup:\n100% chance to Knockdown nearby enemies\n+1 Arcane Revive
+1 Arcane Revive | comparison=HEURISTIC_TEXT_ONLY</x:v>
      </x:c>
      <x:c r="M49" s="62" t="str">
        <x:v>Batch-review the exact-name identity and provenance fields; no game launch is expected.</x:v>
      </x:c>
      <x:c r="N49" s="62" t="str">
        <x:v>Pinned WFCD payload and current Gu row.</x:v>
      </x:c>
      <x:c r="O49" s="31" t="str">
        <x:v>NOT_STARTED</x:v>
      </x:c>
      <x:c r="P49" s="31" t="str"/>
      <x:c r="Q49" s="31" t="str">
        <x:v>Arcane Eruption</x:v>
      </x:c>
      <x:c r="R49" s="31" t="str">
        <x:v>/Lotus/Upgrades/CosmeticEnhancers/Utility/RadialKnockdownOnEnergyPickup</x:v>
      </x:c>
      <x:c r="S49" s="62" t="str"/>
      <x:c r="T49" s="62" t="str"/>
      <x:c r="U49" s="31" t="str"/>
      <x:c r="V49" s="65"/>
      <x:c r="W49" s="31" t="str">
        <x:f>IF(AND(O49="COMPLETE",P49&lt;&gt;"",P49&lt;&gt;"DEFER"),"YES","NO")</x:f>
        <x:v>NO</x:v>
      </x:c>
      <x:c r="X49" s="31" t="str">
        <x:v>https://raw.githubusercontent.com/WFCD/warframe-items/f7c69c0786611df81214cabf588160d7af9cc80c/data/json/Arcanes.json</x:v>
      </x:c>
      <x:c r="Y49" s="31" t="str">
        <x:v>f40d0d19-c224-47f8-9ef2-c225f42e91d0</x:v>
      </x:c>
    </x:row>
    <x:row r="50">
      <x:c r="A50" s="31" t="str">
        <x:v>ARC-0043</x:v>
      </x:c>
      <x:c r="B50" s="31" t="str">
        <x:v>P2</x:v>
      </x:c>
      <x:c r="C50" s="31" t="str">
        <x:v>NO</x:v>
      </x:c>
      <x:c r="D50" s="31" t="str">
        <x:v>VALUE_MISMATCH</x:v>
      </x:c>
      <x:c r="E50" s="31" t="str">
        <x:v>EXACT_NORMALIZED_NAME</x:v>
      </x:c>
      <x:c r="F50" s="31" t="str">
        <x:v>414</x:v>
      </x:c>
      <x:c r="G50" s="31" t="str">
        <x:v>Arcane Escapist</x:v>
      </x:c>
      <x:c r="H50" s="31" t="str">
        <x:v>Arcane Escapist</x:v>
      </x:c>
      <x:c r="I50" s="31" t="str">
        <x:v>/Lotus/Upgrades/CosmeticEnhancers/Defensive/InvulnerabilityOnDeathOnMercyKill</x:v>
      </x:c>
      <x:c r="J50" s="31" t="str">
        <x:v>VALID</x:v>
      </x:c>
      <x:c r="K50" s="31" t="str">
        <x:v>unique_name, equipment_type, introduced_update, effect_text</x:v>
      </x:c>
      <x:c r="L50" s="62" t="str">
        <x:v>unique_name: Gu=∅ | WFCD=/Lotus/Upgrades/CosmeticEnhancers/Defensive/InvulnerabilityOnDeathOnMercyKill | reason=MISSING_OR_DIFFERENT_STABLE_ID
equipment_type: Gu=∅ | WFCD=Warframe Arcane | legacy_subcategory=; reason=EQUIPMENT_COMPATIBILITY_IS_SEPARATE_FROM_LEGACY_SUBCATEGORY
introduced_update: Gu=∅ | WFCD=Update 38.5
effect_text: Gu=∅ | WFCD=On Mercy Kill: Gain a stack of Escapist, up to 9x. On taking fatal damage, consume 3 stacks to avoid death and become invulnerable for 12s.\n+1 Arcane Revive
+1 Arcane Revive | comparison=HEURISTIC_TEXT_ONLY</x:v>
      </x:c>
      <x:c r="M50" s="62" t="str">
        <x:v>Batch-review the exact-name identity and provenance fields; no game launch is expected.</x:v>
      </x:c>
      <x:c r="N50" s="62" t="str">
        <x:v>Pinned WFCD payload and current Gu row.</x:v>
      </x:c>
      <x:c r="O50" s="31" t="str">
        <x:v>NOT_STARTED</x:v>
      </x:c>
      <x:c r="P50" s="31" t="str"/>
      <x:c r="Q50" s="31" t="str">
        <x:v>Arcane Escapist</x:v>
      </x:c>
      <x:c r="R50" s="31" t="str">
        <x:v>/Lotus/Upgrades/CosmeticEnhancers/Defensive/InvulnerabilityOnDeathOnMercyKill</x:v>
      </x:c>
      <x:c r="S50" s="62" t="str"/>
      <x:c r="T50" s="62" t="str"/>
      <x:c r="U50" s="31" t="str"/>
      <x:c r="V50" s="65"/>
      <x:c r="W50" s="31" t="str">
        <x:f>IF(AND(O50="COMPLETE",P50&lt;&gt;"",P50&lt;&gt;"DEFER"),"YES","NO")</x:f>
        <x:v>NO</x:v>
      </x:c>
      <x:c r="X50" s="31" t="str">
        <x:v>https://raw.githubusercontent.com/WFCD/warframe-items/f7c69c0786611df81214cabf588160d7af9cc80c/data/json/Arcanes.json</x:v>
      </x:c>
      <x:c r="Y50" s="31" t="str">
        <x:v>f40d0d19-c224-47f8-9ef2-c225f42e91d0</x:v>
      </x:c>
    </x:row>
    <x:row r="51">
      <x:c r="A51" s="31" t="str">
        <x:v>ARC-0044</x:v>
      </x:c>
      <x:c r="B51" s="31" t="str">
        <x:v>P2</x:v>
      </x:c>
      <x:c r="C51" s="31" t="str">
        <x:v>NO</x:v>
      </x:c>
      <x:c r="D51" s="31" t="str">
        <x:v>VALUE_MISMATCH</x:v>
      </x:c>
      <x:c r="E51" s="31" t="str">
        <x:v>EXACT_NORMALIZED_NAME</x:v>
      </x:c>
      <x:c r="F51" s="31" t="str">
        <x:v>415</x:v>
      </x:c>
      <x:c r="G51" s="31" t="str">
        <x:v>Arcane Expertise</x:v>
      </x:c>
      <x:c r="H51" s="31" t="str">
        <x:v>Arcane Expertise</x:v>
      </x:c>
      <x:c r="I51" s="31" t="str">
        <x:v>/Lotus/Upgrades/CosmeticEnhancers/Defensive/ShieldMaxForAbilityStrength</x:v>
      </x:c>
      <x:c r="J51" s="31" t="str">
        <x:v>VALID</x:v>
      </x:c>
      <x:c r="K51" s="31" t="str">
        <x:v>unique_name, equipment_type, introduced_update, effect_text</x:v>
      </x:c>
      <x:c r="L51" s="62" t="str">
        <x:v>unique_name: Gu=∅ | WFCD=/Lotus/Upgrades/CosmeticEnhancers/Defensive/ShieldMaxForAbilityStrength | reason=MISSING_OR_DIFFERENT_STABLE_ID
equipment_type: Gu=∅ | WFCD=Warframe Arcane | legacy_subcategory=; reason=EQUIPMENT_COMPATIBILITY_IS_SEPARATE_FROM_LEGACY_SUBCATEGORY
introduced_update: Gu=∅ | WFCD=Update 41.0
effect_text: Gu=∅ | WFCD=100% of Ability Strength modifiers are also applied to Max Shields.\n+1 Arcane Revive
+1 Arcane Revive | comparison=HEURISTIC_TEXT_ONLY</x:v>
      </x:c>
      <x:c r="M51" s="62" t="str">
        <x:v>Batch-review the exact-name identity and provenance fields; no game launch is expected.</x:v>
      </x:c>
      <x:c r="N51" s="62" t="str">
        <x:v>Pinned WFCD payload and current Gu row.</x:v>
      </x:c>
      <x:c r="O51" s="31" t="str">
        <x:v>NOT_STARTED</x:v>
      </x:c>
      <x:c r="P51" s="31" t="str"/>
      <x:c r="Q51" s="31" t="str">
        <x:v>Arcane Expertise</x:v>
      </x:c>
      <x:c r="R51" s="31" t="str">
        <x:v>/Lotus/Upgrades/CosmeticEnhancers/Defensive/ShieldMaxForAbilityStrength</x:v>
      </x:c>
      <x:c r="S51" s="62" t="str"/>
      <x:c r="T51" s="62" t="str"/>
      <x:c r="U51" s="31" t="str"/>
      <x:c r="V51" s="65"/>
      <x:c r="W51" s="31" t="str">
        <x:f>IF(AND(O51="COMPLETE",P51&lt;&gt;"",P51&lt;&gt;"DEFER"),"YES","NO")</x:f>
        <x:v>NO</x:v>
      </x:c>
      <x:c r="X51" s="31" t="str">
        <x:v>https://raw.githubusercontent.com/WFCD/warframe-items/f7c69c0786611df81214cabf588160d7af9cc80c/data/json/Arcanes.json</x:v>
      </x:c>
      <x:c r="Y51" s="31" t="str">
        <x:v>f40d0d19-c224-47f8-9ef2-c225f42e91d0</x:v>
      </x:c>
    </x:row>
    <x:row r="52">
      <x:c r="A52" s="31" t="str">
        <x:v>ARC-0045</x:v>
      </x:c>
      <x:c r="B52" s="31" t="str">
        <x:v>P2</x:v>
      </x:c>
      <x:c r="C52" s="31" t="str">
        <x:v>NO</x:v>
      </x:c>
      <x:c r="D52" s="31" t="str">
        <x:v>VALUE_MISMATCH</x:v>
      </x:c>
      <x:c r="E52" s="31" t="str">
        <x:v>EXACT_NORMALIZED_NAME</x:v>
      </x:c>
      <x:c r="F52" s="31" t="str">
        <x:v>12</x:v>
      </x:c>
      <x:c r="G52" s="31" t="str">
        <x:v>Arcane Fury</x:v>
      </x:c>
      <x:c r="H52" s="31" t="str">
        <x:v>Arcane Fury</x:v>
      </x:c>
      <x:c r="I52" s="31" t="str">
        <x:v>/Lotus/Upgrades/CosmeticEnhancers/Offensive/GolemArcaneMeleeDamageOnCrit</x:v>
      </x:c>
      <x:c r="J52" s="31" t="str">
        <x:v>VALID</x:v>
      </x:c>
      <x:c r="K52" s="31" t="str">
        <x:v>unique_name, equipment_type, introduced_update, effect_text</x:v>
      </x:c>
      <x:c r="L52" s="62" t="str">
        <x:v>unique_name: Gu=∅ | WFCD=/Lotus/Upgrades/CosmeticEnhancers/Offensive/GolemArcaneMeleeDamageOnCrit | reason=MISSING_OR_DIFFERENT_STABLE_ID
equipment_type: Gu=∅ | WFCD=Warframe Arcane | legacy_subcategory=Eidolon; reason=EQUIPMENT_COMPATIBILITY_IS_SEPARATE_FROM_LEGACY_SUBCATEGORY
introduced_update: Gu=22.14 | WFCD=Update 17.9.1
effect_text: Gu=+120% Melee Damage for 12s | WFCD=On Critical Hit:\n60% chance for +180% Melee Damage to Melee Weapons for 18s\n+1 Arcane Revive
+1 Arcane Revive | comparison=HEURISTIC_TEXT_ONLY</x:v>
      </x:c>
      <x:c r="M52" s="62" t="str">
        <x:v>Batch-review the exact-name identity and provenance fields; no game launch is expected.</x:v>
      </x:c>
      <x:c r="N52" s="62" t="str">
        <x:v>Pinned WFCD payload and current Gu row.</x:v>
      </x:c>
      <x:c r="O52" s="31" t="str">
        <x:v>NOT_STARTED</x:v>
      </x:c>
      <x:c r="P52" s="31" t="str"/>
      <x:c r="Q52" s="31" t="str">
        <x:v>Arcane Fury</x:v>
      </x:c>
      <x:c r="R52" s="31" t="str">
        <x:v>/Lotus/Upgrades/CosmeticEnhancers/Offensive/GolemArcaneMeleeDamageOnCrit</x:v>
      </x:c>
      <x:c r="S52" s="62" t="str"/>
      <x:c r="T52" s="62" t="str"/>
      <x:c r="U52" s="31" t="str"/>
      <x:c r="V52" s="65"/>
      <x:c r="W52" s="31" t="str">
        <x:f>IF(AND(O52="COMPLETE",P52&lt;&gt;"",P52&lt;&gt;"DEFER"),"YES","NO")</x:f>
        <x:v>NO</x:v>
      </x:c>
      <x:c r="X52" s="31" t="str">
        <x:v>https://raw.githubusercontent.com/WFCD/warframe-items/f7c69c0786611df81214cabf588160d7af9cc80c/data/json/Arcanes.json</x:v>
      </x:c>
      <x:c r="Y52" s="31" t="str">
        <x:v>f40d0d19-c224-47f8-9ef2-c225f42e91d0</x:v>
      </x:c>
    </x:row>
    <x:row r="53">
      <x:c r="A53" s="31" t="str">
        <x:v>ARC-0046</x:v>
      </x:c>
      <x:c r="B53" s="31" t="str">
        <x:v>P2</x:v>
      </x:c>
      <x:c r="C53" s="31" t="str">
        <x:v>NO</x:v>
      </x:c>
      <x:c r="D53" s="31" t="str">
        <x:v>VALUE_MISMATCH</x:v>
      </x:c>
      <x:c r="E53" s="31" t="str">
        <x:v>EXACT_NORMALIZED_NAME</x:v>
      </x:c>
      <x:c r="F53" s="31" t="str">
        <x:v>13</x:v>
      </x:c>
      <x:c r="G53" s="31" t="str">
        <x:v>Arcane Grace</x:v>
      </x:c>
      <x:c r="H53" s="31" t="str">
        <x:v>Arcane Grace</x:v>
      </x:c>
      <x:c r="I53" s="31" t="str">
        <x:v>/Lotus/Upgrades/CosmeticEnhancers/Defensive/HealthRegenOnDamage</x:v>
      </x:c>
      <x:c r="J53" s="31" t="str">
        <x:v>VALID</x:v>
      </x:c>
      <x:c r="K53" s="31" t="str">
        <x:v>unique_name, equipment_type, introduced_update, effect_text</x:v>
      </x:c>
      <x:c r="L53" s="62" t="str">
        <x:v>unique_name: Gu=∅ | WFCD=/Lotus/Upgrades/CosmeticEnhancers/Defensive/HealthRegenOnDamage | reason=MISSING_OR_DIFFERENT_STABLE_ID
equipment_type: Gu=∅ | WFCD=Warframe Arcane | legacy_subcategory=Eidolon; reason=EQUIPMENT_COMPATIBILITY_IS_SEPARATE_FROM_LEGACY_SUBCATEGORY
introduced_update: Gu=22.14 | WFCD=Update 16.0
effect_text: Gu=60% chance: +6% HP regen/s for 9s | WFCD=On Health Damaged:\n9% chance for +6% Health Regeneration/s for 9s\n+1 Arcane Revive
+1 Arcane Revive | comparison=HEURISTIC_TEXT_ONLY</x:v>
      </x:c>
      <x:c r="M53" s="62" t="str">
        <x:v>Batch-review the exact-name identity and provenance fields; no game launch is expected.</x:v>
      </x:c>
      <x:c r="N53" s="62" t="str">
        <x:v>Pinned WFCD payload and current Gu row.</x:v>
      </x:c>
      <x:c r="O53" s="31" t="str">
        <x:v>NOT_STARTED</x:v>
      </x:c>
      <x:c r="P53" s="31" t="str"/>
      <x:c r="Q53" s="31" t="str">
        <x:v>Arcane Grace</x:v>
      </x:c>
      <x:c r="R53" s="31" t="str">
        <x:v>/Lotus/Upgrades/CosmeticEnhancers/Defensive/HealthRegenOnDamage</x:v>
      </x:c>
      <x:c r="S53" s="62" t="str"/>
      <x:c r="T53" s="62" t="str"/>
      <x:c r="U53" s="31" t="str"/>
      <x:c r="V53" s="65"/>
      <x:c r="W53" s="31" t="str">
        <x:f>IF(AND(O53="COMPLETE",P53&lt;&gt;"",P53&lt;&gt;"DEFER"),"YES","NO")</x:f>
        <x:v>NO</x:v>
      </x:c>
      <x:c r="X53" s="31" t="str">
        <x:v>https://raw.githubusercontent.com/WFCD/warframe-items/f7c69c0786611df81214cabf588160d7af9cc80c/data/json/Arcanes.json</x:v>
      </x:c>
      <x:c r="Y53" s="31" t="str">
        <x:v>f40d0d19-c224-47f8-9ef2-c225f42e91d0</x:v>
      </x:c>
    </x:row>
    <x:row r="54">
      <x:c r="A54" s="31" t="str">
        <x:v>ARC-0047</x:v>
      </x:c>
      <x:c r="B54" s="31" t="str">
        <x:v>P2</x:v>
      </x:c>
      <x:c r="C54" s="31" t="str">
        <x:v>NO</x:v>
      </x:c>
      <x:c r="D54" s="31" t="str">
        <x:v>VALUE_MISMATCH</x:v>
      </x:c>
      <x:c r="E54" s="31" t="str">
        <x:v>EXACT_NORMALIZED_NAME</x:v>
      </x:c>
      <x:c r="F54" s="31" t="str">
        <x:v>14</x:v>
      </x:c>
      <x:c r="G54" s="31" t="str">
        <x:v>Arcane Guardian</x:v>
      </x:c>
      <x:c r="H54" s="31" t="str">
        <x:v>Arcane Guardian</x:v>
      </x:c>
      <x:c r="I54" s="31" t="str">
        <x:v>/Lotus/Upgrades/CosmeticEnhancers/Defensive/ArmourOnDamage</x:v>
      </x:c>
      <x:c r="J54" s="31" t="str">
        <x:v>VALID</x:v>
      </x:c>
      <x:c r="K54" s="31" t="str">
        <x:v>unique_name, equipment_type, introduced_update, effect_text</x:v>
      </x:c>
      <x:c r="L54" s="62" t="str">
        <x:v>unique_name: Gu=∅ | WFCD=/Lotus/Upgrades/CosmeticEnhancers/Defensive/ArmourOnDamage | reason=MISSING_OR_DIFFERENT_STABLE_ID
equipment_type: Gu=∅ | WFCD=Warframe Arcane | legacy_subcategory=Eidolon; reason=EQUIPMENT_COMPATIBILITY_IS_SEPARATE_FROM_LEGACY_SUBCATEGORY
introduced_update: Gu=22.14 | WFCD=Update 16.0
effect_text: Gu=+900 Armor for 20s | WFCD=On Damaged:\n15% chance for +900 Armor for 20s\n+1 Arcane Revive
+1 Arcane Revive | comparison=HEURISTIC_TEXT_ONLY</x:v>
      </x:c>
      <x:c r="M54" s="62" t="str">
        <x:v>Batch-review the exact-name identity and provenance fields; no game launch is expected.</x:v>
      </x:c>
      <x:c r="N54" s="62" t="str">
        <x:v>Pinned WFCD payload and current Gu row.</x:v>
      </x:c>
      <x:c r="O54" s="31" t="str">
        <x:v>NOT_STARTED</x:v>
      </x:c>
      <x:c r="P54" s="31" t="str"/>
      <x:c r="Q54" s="31" t="str">
        <x:v>Arcane Guardian</x:v>
      </x:c>
      <x:c r="R54" s="31" t="str">
        <x:v>/Lotus/Upgrades/CosmeticEnhancers/Defensive/ArmourOnDamage</x:v>
      </x:c>
      <x:c r="S54" s="62" t="str"/>
      <x:c r="T54" s="62" t="str"/>
      <x:c r="U54" s="31" t="str"/>
      <x:c r="V54" s="65"/>
      <x:c r="W54" s="31" t="str">
        <x:f>IF(AND(O54="COMPLETE",P54&lt;&gt;"",P54&lt;&gt;"DEFER"),"YES","NO")</x:f>
        <x:v>NO</x:v>
      </x:c>
      <x:c r="X54" s="31" t="str">
        <x:v>https://raw.githubusercontent.com/WFCD/warframe-items/f7c69c0786611df81214cabf588160d7af9cc80c/data/json/Arcanes.json</x:v>
      </x:c>
      <x:c r="Y54" s="31" t="str">
        <x:v>f40d0d19-c224-47f8-9ef2-c225f42e91d0</x:v>
      </x:c>
    </x:row>
    <x:row r="55">
      <x:c r="A55" s="31" t="str">
        <x:v>ARC-0048</x:v>
      </x:c>
      <x:c r="B55" s="31" t="str">
        <x:v>P2</x:v>
      </x:c>
      <x:c r="C55" s="31" t="str">
        <x:v>NO</x:v>
      </x:c>
      <x:c r="D55" s="31" t="str">
        <x:v>VALUE_MISMATCH</x:v>
      </x:c>
      <x:c r="E55" s="31" t="str">
        <x:v>EXACT_NORMALIZED_NAME</x:v>
      </x:c>
      <x:c r="F55" s="31" t="str">
        <x:v>15</x:v>
      </x:c>
      <x:c r="G55" s="31" t="str">
        <x:v>Arcane Healing</x:v>
      </x:c>
      <x:c r="H55" s="31" t="str">
        <x:v>Arcane Healing</x:v>
      </x:c>
      <x:c r="I55" s="31" t="str">
        <x:v>/Lotus/Upgrades/CosmeticEnhancers/Defensive/RadiationProcResist</x:v>
      </x:c>
      <x:c r="J55" s="31" t="str">
        <x:v>VALID</x:v>
      </x:c>
      <x:c r="K55" s="31" t="str">
        <x:v>unique_name, equipment_type, introduced_update, effect_text</x:v>
      </x:c>
      <x:c r="L55" s="62" t="str">
        <x:v>unique_name: Gu=∅ | WFCD=/Lotus/Upgrades/CosmeticEnhancers/Defensive/RadiationProcResist | reason=MISSING_OR_DIFFERENT_STABLE_ID
equipment_type: Gu=∅ | WFCD=Warframe Arcane | legacy_subcategory=Eidolon; reason=EQUIPMENT_COMPATIBILITY_IS_SEPARATE_FROM_LEGACY_SUBCATEGORY
introduced_update: Gu=22.14 | WFCD=Update 16.0
effect_text: Gu=+60% HP regen from Health Orbs for 10s | WFCD=+102% chance to resist a &lt;DT_RADIATION_COLOR&gt;Radiation Status effect.
+1 Arcane Revive | comparison=HEURISTIC_TEXT_ONLY</x:v>
      </x:c>
      <x:c r="M55" s="62" t="str">
        <x:v>Batch-review the exact-name identity and provenance fields; no game launch is expected.</x:v>
      </x:c>
      <x:c r="N55" s="62" t="str">
        <x:v>Pinned WFCD payload and current Gu row.</x:v>
      </x:c>
      <x:c r="O55" s="31" t="str">
        <x:v>NOT_STARTED</x:v>
      </x:c>
      <x:c r="P55" s="31" t="str"/>
      <x:c r="Q55" s="31" t="str">
        <x:v>Arcane Healing</x:v>
      </x:c>
      <x:c r="R55" s="31" t="str">
        <x:v>/Lotus/Upgrades/CosmeticEnhancers/Defensive/RadiationProcResist</x:v>
      </x:c>
      <x:c r="S55" s="62" t="str"/>
      <x:c r="T55" s="62" t="str"/>
      <x:c r="U55" s="31" t="str"/>
      <x:c r="V55" s="65"/>
      <x:c r="W55" s="31" t="str">
        <x:f>IF(AND(O55="COMPLETE",P55&lt;&gt;"",P55&lt;&gt;"DEFER"),"YES","NO")</x:f>
        <x:v>NO</x:v>
      </x:c>
      <x:c r="X55" s="31" t="str">
        <x:v>https://raw.githubusercontent.com/WFCD/warframe-items/f7c69c0786611df81214cabf588160d7af9cc80c/data/json/Arcanes.json</x:v>
      </x:c>
      <x:c r="Y55" s="31" t="str">
        <x:v>f40d0d19-c224-47f8-9ef2-c225f42e91d0</x:v>
      </x:c>
    </x:row>
    <x:row r="56">
      <x:c r="A56" s="31" t="str">
        <x:v>ARC-0049</x:v>
      </x:c>
      <x:c r="B56" s="31" t="str">
        <x:v>P2</x:v>
      </x:c>
      <x:c r="C56" s="31" t="str">
        <x:v>NO</x:v>
      </x:c>
      <x:c r="D56" s="31" t="str">
        <x:v>VALUE_MISMATCH</x:v>
      </x:c>
      <x:c r="E56" s="31" t="str">
        <x:v>EXACT_NORMALIZED_NAME</x:v>
      </x:c>
      <x:c r="F56" s="31" t="str">
        <x:v>416</x:v>
      </x:c>
      <x:c r="G56" s="31" t="str">
        <x:v>Arcane Hotshot</x:v>
      </x:c>
      <x:c r="H56" s="31" t="str">
        <x:v>Arcane Hot Shot</x:v>
      </x:c>
      <x:c r="I56" s="31" t="str">
        <x:v>/Lotus/Upgrades/CosmeticEnhancers/Offensive/AbilityHeatProcsGiveCritChance</x:v>
      </x:c>
      <x:c r="J56" s="31" t="str">
        <x:v>VALID</x:v>
      </x:c>
      <x:c r="K56" s="31" t="str">
        <x:v>unique_name, name, equipment_type, introduced_update, effect_text</x:v>
      </x:c>
      <x:c r="L56" s="62" t="str">
        <x:v>unique_name: Gu=∅ | WFCD=/Lotus/Upgrades/CosmeticEnhancers/Offensive/AbilityHeatProcsGiveCritChance | reason=MISSING_OR_DIFFERENT_STABLE_ID
name: Gu=Arcane Hotshot | WFCD=Arcane Hot Shot
equipment_type: Gu=∅ | WFCD=Warframe Arcane | legacy_subcategory=; reason=EQUIPMENT_COMPATIBILITY_IS_SEPARATE_FROM_LEGACY_SUBCATEGORY
introduced_update: Gu=∅ | WFCD=Update 38.5
effect_text: Gu=∅ | WFCD=Gain 6% weapon Critical Chance for 10s, when using abilities to inflict &lt;DT_FIRE_COLOR&gt;Heat Status effect on enemies. Maximum 50x stacks.
+1 Arcane Revive | comparison=HEURISTIC_TEXT_ONLY</x:v>
      </x:c>
      <x:c r="M56" s="62" t="str">
        <x:v>Batch-review the exact-name identity and provenance fields; no game launch is expected.</x:v>
      </x:c>
      <x:c r="N56" s="62" t="str">
        <x:v>Pinned WFCD payload and current Gu row.</x:v>
      </x:c>
      <x:c r="O56" s="31" t="str">
        <x:v>NOT_STARTED</x:v>
      </x:c>
      <x:c r="P56" s="31" t="str"/>
      <x:c r="Q56" s="31" t="str">
        <x:v>Arcane Hotshot</x:v>
      </x:c>
      <x:c r="R56" s="31" t="str">
        <x:v>/Lotus/Upgrades/CosmeticEnhancers/Offensive/AbilityHeatProcsGiveCritChance</x:v>
      </x:c>
      <x:c r="S56" s="62" t="str"/>
      <x:c r="T56" s="62" t="str"/>
      <x:c r="U56" s="31" t="str"/>
      <x:c r="V56" s="65"/>
      <x:c r="W56" s="31" t="str">
        <x:f>IF(AND(O56="COMPLETE",P56&lt;&gt;"",P56&lt;&gt;"DEFER"),"YES","NO")</x:f>
        <x:v>NO</x:v>
      </x:c>
      <x:c r="X56" s="31" t="str">
        <x:v>https://raw.githubusercontent.com/WFCD/warframe-items/f7c69c0786611df81214cabf588160d7af9cc80c/data/json/Arcanes.json</x:v>
      </x:c>
      <x:c r="Y56" s="31" t="str">
        <x:v>f40d0d19-c224-47f8-9ef2-c225f42e91d0</x:v>
      </x:c>
    </x:row>
    <x:row r="57">
      <x:c r="A57" s="31" t="str">
        <x:v>ARC-0050</x:v>
      </x:c>
      <x:c r="B57" s="31" t="str">
        <x:v>P2</x:v>
      </x:c>
      <x:c r="C57" s="31" t="str">
        <x:v>NO</x:v>
      </x:c>
      <x:c r="D57" s="31" t="str">
        <x:v>VALUE_MISMATCH</x:v>
      </x:c>
      <x:c r="E57" s="31" t="str">
        <x:v>EXACT_NORMALIZED_NAME</x:v>
      </x:c>
      <x:c r="F57" s="31" t="str">
        <x:v>16</x:v>
      </x:c>
      <x:c r="G57" s="31" t="str">
        <x:v>Arcane Ice</x:v>
      </x:c>
      <x:c r="H57" s="31" t="str">
        <x:v>Arcane Ice</x:v>
      </x:c>
      <x:c r="I57" s="31" t="str">
        <x:v>/Lotus/Upgrades/CosmeticEnhancers/Defensive/FireProcResist</x:v>
      </x:c>
      <x:c r="J57" s="31" t="str">
        <x:v>VALID</x:v>
      </x:c>
      <x:c r="K57" s="31" t="str">
        <x:v>unique_name, equipment_type, introduced_update, tradable, effect_text</x:v>
      </x:c>
      <x:c r="L57" s="62" t="str">
        <x:v>unique_name: Gu=∅ | WFCD=/Lotus/Upgrades/CosmeticEnhancers/Defensive/FireProcResist | reason=MISSING_OR_DIFFERENT_STABLE_ID
equipment_type: Gu=∅ | WFCD=Warframe Arcane | legacy_subcategory=; reason=EQUIPMENT_COMPATIBILITY_IS_SEPARATE_FROM_LEGACY_SUBCATEGORY
introduced_update: Gu=∅ | WFCD=Update 16.0
tradable: Gu=false | WFCD=true
effect_text: Gu=∅ | WFCD=+102% chance to resist a &lt;DT_FIRE_COLOR&gt;Heat Status effect.
+1 Arcane Revive | comparison=HEURISTIC_TEXT_ONLY</x:v>
      </x:c>
      <x:c r="M57" s="62" t="str">
        <x:v>Batch-review the exact-name identity and provenance fields; no game launch is expected.</x:v>
      </x:c>
      <x:c r="N57" s="62" t="str">
        <x:v>Pinned WFCD payload and current Gu row.</x:v>
      </x:c>
      <x:c r="O57" s="31" t="str">
        <x:v>NOT_STARTED</x:v>
      </x:c>
      <x:c r="P57" s="31" t="str"/>
      <x:c r="Q57" s="31" t="str">
        <x:v>Arcane Ice</x:v>
      </x:c>
      <x:c r="R57" s="31" t="str">
        <x:v>/Lotus/Upgrades/CosmeticEnhancers/Defensive/FireProcResist</x:v>
      </x:c>
      <x:c r="S57" s="62" t="str"/>
      <x:c r="T57" s="62" t="str"/>
      <x:c r="U57" s="31" t="str"/>
      <x:c r="V57" s="65"/>
      <x:c r="W57" s="31" t="str">
        <x:f>IF(AND(O57="COMPLETE",P57&lt;&gt;"",P57&lt;&gt;"DEFER"),"YES","NO")</x:f>
        <x:v>NO</x:v>
      </x:c>
      <x:c r="X57" s="31" t="str">
        <x:v>https://raw.githubusercontent.com/WFCD/warframe-items/f7c69c0786611df81214cabf588160d7af9cc80c/data/json/Arcanes.json</x:v>
      </x:c>
      <x:c r="Y57" s="31" t="str">
        <x:v>f40d0d19-c224-47f8-9ef2-c225f42e91d0</x:v>
      </x:c>
    </x:row>
    <x:row r="58">
      <x:c r="A58" s="31" t="str">
        <x:v>ARC-0051</x:v>
      </x:c>
      <x:c r="B58" s="31" t="str">
        <x:v>P2</x:v>
      </x:c>
      <x:c r="C58" s="31" t="str">
        <x:v>NO</x:v>
      </x:c>
      <x:c r="D58" s="31" t="str">
        <x:v>VALUE_MISMATCH</x:v>
      </x:c>
      <x:c r="E58" s="31" t="str">
        <x:v>EXACT_NORMALIZED_NAME</x:v>
      </x:c>
      <x:c r="F58" s="31" t="str">
        <x:v>171</x:v>
      </x:c>
      <x:c r="G58" s="31" t="str">
        <x:v>Arcane Impetus</x:v>
      </x:c>
      <x:c r="H58" s="31" t="str">
        <x:v>Arcane Impetus</x:v>
      </x:c>
      <x:c r="I58" s="31" t="str">
        <x:v>/Lotus/Upgrades/CosmeticEnhancers/Utility/AbilityStatusProcsGiveAbilityStrengthAndEfficiency</x:v>
      </x:c>
      <x:c r="J58" s="31" t="str">
        <x:v>VALID</x:v>
      </x:c>
      <x:c r="K58" s="31" t="str">
        <x:v>unique_name, equipment_type, introduced_update, effect_text</x:v>
      </x:c>
      <x:c r="L58" s="62" t="str">
        <x:v>unique_name: Gu=∅ | WFCD=/Lotus/Upgrades/CosmeticEnhancers/Utility/AbilityStatusProcsGiveAbilityStrengthAndEfficiency | reason=MISSING_OR_DIFFERENT_STABLE_ID
equipment_type: Gu=∅ | WFCD=Warframe Arcane | legacy_subcategory=Descendia; reason=EQUIPMENT_COMPATIBILITY_IS_SEPARATE_FROM_LEGACY_SUBCATEGORY
introduced_update: Gu=41.0 | WFCD=Update 38.0
effect_text: Gu=+15% Ability Strength per cast for 10s; max +75% | WFCD=Unique Status Effects from Abilities grant +6% Ability Strength and +3% Ability Efficiency for 20s.\n+1 Arcane Revive
+1 Arcane Revive | comparison=HEURISTIC_TEXT_ONLY</x:v>
      </x:c>
      <x:c r="M58" s="62" t="str">
        <x:v>Batch-review the exact-name identity and provenance fields; no game launch is expected.</x:v>
      </x:c>
      <x:c r="N58" s="62" t="str">
        <x:v>Pinned WFCD payload and current Gu row.</x:v>
      </x:c>
      <x:c r="O58" s="31" t="str">
        <x:v>NOT_STARTED</x:v>
      </x:c>
      <x:c r="P58" s="31" t="str"/>
      <x:c r="Q58" s="31" t="str">
        <x:v>Arcane Impetus</x:v>
      </x:c>
      <x:c r="R58" s="31" t="str">
        <x:v>/Lotus/Upgrades/CosmeticEnhancers/Utility/AbilityStatusProcsGiveAbilityStrengthAndEfficiency</x:v>
      </x:c>
      <x:c r="S58" s="62" t="str"/>
      <x:c r="T58" s="62" t="str"/>
      <x:c r="U58" s="31" t="str"/>
      <x:c r="V58" s="65"/>
      <x:c r="W58" s="31" t="str">
        <x:f>IF(AND(O58="COMPLETE",P58&lt;&gt;"",P58&lt;&gt;"DEFER"),"YES","NO")</x:f>
        <x:v>NO</x:v>
      </x:c>
      <x:c r="X58" s="31" t="str">
        <x:v>https://raw.githubusercontent.com/WFCD/warframe-items/f7c69c0786611df81214cabf588160d7af9cc80c/data/json/Arcanes.json</x:v>
      </x:c>
      <x:c r="Y58" s="31" t="str">
        <x:v>f40d0d19-c224-47f8-9ef2-c225f42e91d0</x:v>
      </x:c>
    </x:row>
    <x:row r="59">
      <x:c r="A59" s="31" t="str">
        <x:v>ARC-0052</x:v>
      </x:c>
      <x:c r="B59" s="31" t="str">
        <x:v>P2</x:v>
      </x:c>
      <x:c r="C59" s="31" t="str">
        <x:v>NO</x:v>
      </x:c>
      <x:c r="D59" s="31" t="str">
        <x:v>VALUE_MISMATCH</x:v>
      </x:c>
      <x:c r="E59" s="31" t="str">
        <x:v>EXACT_NORMALIZED_NAME</x:v>
      </x:c>
      <x:c r="F59" s="31" t="str">
        <x:v>68</x:v>
      </x:c>
      <x:c r="G59" s="31" t="str">
        <x:v>Arcane Intention</x:v>
      </x:c>
      <x:c r="H59" s="31" t="str">
        <x:v>Arcane Intention</x:v>
      </x:c>
      <x:c r="I59" s="31" t="str">
        <x:v>/Lotus/Upgrades/CosmeticEnhancers/Utility/HealthWhileUsingChanneledAbilities</x:v>
      </x:c>
      <x:c r="J59" s="31" t="str">
        <x:v>VALID</x:v>
      </x:c>
      <x:c r="K59" s="31" t="str">
        <x:v>unique_name, equipment_type, introduced_update, effect_text</x:v>
      </x:c>
      <x:c r="L59" s="62" t="str">
        <x:v>unique_name: Gu=∅ | WFCD=/Lotus/Upgrades/CosmeticEnhancers/Utility/HealthWhileUsingChanneledAbilities | reason=MISSING_OR_DIFFERENT_STABLE_ID
equipment_type: Gu=∅ | WFCD=Warframe Arcane | legacy_subcategory=Eidolon; reason=EQUIPMENT_COMPATIBILITY_IS_SEPARATE_FROM_LEGACY_SUBCATEGORY
introduced_update: Gu=22.14 | WFCD=Update 33.0
effect_text: Gu=+60% Crit Chance while aim-gliding | WFCD=Gain +250 Max Health per active channeled ability.
+1 Arcane Revive | comparison=HEURISTIC_TEXT_ONLY</x:v>
      </x:c>
      <x:c r="M59" s="62" t="str">
        <x:v>Batch-review the exact-name identity and provenance fields; no game launch is expected.</x:v>
      </x:c>
      <x:c r="N59" s="62" t="str">
        <x:v>Pinned WFCD payload and current Gu row.</x:v>
      </x:c>
      <x:c r="O59" s="31" t="str">
        <x:v>NOT_STARTED</x:v>
      </x:c>
      <x:c r="P59" s="31" t="str"/>
      <x:c r="Q59" s="31" t="str">
        <x:v>Arcane Intention</x:v>
      </x:c>
      <x:c r="R59" s="31" t="str">
        <x:v>/Lotus/Upgrades/CosmeticEnhancers/Utility/HealthWhileUsingChanneledAbilities</x:v>
      </x:c>
      <x:c r="S59" s="62" t="str"/>
      <x:c r="T59" s="62" t="str"/>
      <x:c r="U59" s="31" t="str"/>
      <x:c r="V59" s="65"/>
      <x:c r="W59" s="31" t="str">
        <x:f>IF(AND(O59="COMPLETE",P59&lt;&gt;"",P59&lt;&gt;"DEFER"),"YES","NO")</x:f>
        <x:v>NO</x:v>
      </x:c>
      <x:c r="X59" s="31" t="str">
        <x:v>https://raw.githubusercontent.com/WFCD/warframe-items/f7c69c0786611df81214cabf588160d7af9cc80c/data/json/Arcanes.json</x:v>
      </x:c>
      <x:c r="Y59" s="31" t="str">
        <x:v>f40d0d19-c224-47f8-9ef2-c225f42e91d0</x:v>
      </x:c>
    </x:row>
    <x:row r="60">
      <x:c r="A60" s="31" t="str">
        <x:v>ARC-0053</x:v>
      </x:c>
      <x:c r="B60" s="31" t="str">
        <x:v>P2</x:v>
      </x:c>
      <x:c r="C60" s="31" t="str">
        <x:v>NO</x:v>
      </x:c>
      <x:c r="D60" s="31" t="str">
        <x:v>VALUE_MISMATCH</x:v>
      </x:c>
      <x:c r="E60" s="31" t="str">
        <x:v>EXACT_NORMALIZED_NAME</x:v>
      </x:c>
      <x:c r="F60" s="31" t="str">
        <x:v>17</x:v>
      </x:c>
      <x:c r="G60" s="31" t="str">
        <x:v>Arcane Momentum</x:v>
      </x:c>
      <x:c r="H60" s="31" t="str">
        <x:v>Arcane Momentum</x:v>
      </x:c>
      <x:c r="I60" s="31" t="str">
        <x:v>/Lotus/Upgrades/CosmeticEnhancers/Offensive/GolemArcaneSniperSpeedOnCrit</x:v>
      </x:c>
      <x:c r="J60" s="31" t="str">
        <x:v>VALID</x:v>
      </x:c>
      <x:c r="K60" s="31" t="str">
        <x:v>unique_name, equipment_type, introduced_update, effect_text</x:v>
      </x:c>
      <x:c r="L60" s="62" t="str">
        <x:v>unique_name: Gu=∅ | WFCD=/Lotus/Upgrades/CosmeticEnhancers/Offensive/GolemArcaneSniperSpeedOnCrit | reason=MISSING_OR_DIFFERENT_STABLE_ID
equipment_type: Gu=∅ | WFCD=Warframe Arcane | legacy_subcategory=Eidolon; reason=EQUIPMENT_COMPATIBILITY_IS_SEPARATE_FROM_LEGACY_SUBCATEGORY
introduced_update: Gu=22.14 | WFCD=Update 17.9.1
effect_text: Gu=+90% Reload Speed for Sniper Rifles for 12s | WFCD=On Critical Hit:\n60% chance for +150% Reload Speed to Sniper Rifles for 12s\n+1 Arcane Revive
+1 Arcane Revive | comparison=HEURISTIC_TEXT_ONLY</x:v>
      </x:c>
      <x:c r="M60" s="62" t="str">
        <x:v>Batch-review the exact-name identity and provenance fields; no game launch is expected.</x:v>
      </x:c>
      <x:c r="N60" s="62" t="str">
        <x:v>Pinned WFCD payload and current Gu row.</x:v>
      </x:c>
      <x:c r="O60" s="31" t="str">
        <x:v>NOT_STARTED</x:v>
      </x:c>
      <x:c r="P60" s="31" t="str"/>
      <x:c r="Q60" s="31" t="str">
        <x:v>Arcane Momentum</x:v>
      </x:c>
      <x:c r="R60" s="31" t="str">
        <x:v>/Lotus/Upgrades/CosmeticEnhancers/Offensive/GolemArcaneSniperSpeedOnCrit</x:v>
      </x:c>
      <x:c r="S60" s="62" t="str"/>
      <x:c r="T60" s="62" t="str"/>
      <x:c r="U60" s="31" t="str"/>
      <x:c r="V60" s="65"/>
      <x:c r="W60" s="31" t="str">
        <x:f>IF(AND(O60="COMPLETE",P60&lt;&gt;"",P60&lt;&gt;"DEFER"),"YES","NO")</x:f>
        <x:v>NO</x:v>
      </x:c>
      <x:c r="X60" s="31" t="str">
        <x:v>https://raw.githubusercontent.com/WFCD/warframe-items/f7c69c0786611df81214cabf588160d7af9cc80c/data/json/Arcanes.json</x:v>
      </x:c>
      <x:c r="Y60" s="31" t="str">
        <x:v>f40d0d19-c224-47f8-9ef2-c225f42e91d0</x:v>
      </x:c>
    </x:row>
    <x:row r="61">
      <x:c r="A61" s="31" t="str">
        <x:v>ARC-0054</x:v>
      </x:c>
      <x:c r="B61" s="31" t="str">
        <x:v>P2</x:v>
      </x:c>
      <x:c r="C61" s="31" t="str">
        <x:v>NO</x:v>
      </x:c>
      <x:c r="D61" s="31" t="str">
        <x:v>VALUE_MISMATCH</x:v>
      </x:c>
      <x:c r="E61" s="31" t="str">
        <x:v>EXACT_NORMALIZED_NAME</x:v>
      </x:c>
      <x:c r="F61" s="31" t="str">
        <x:v>18</x:v>
      </x:c>
      <x:c r="G61" s="31" t="str">
        <x:v>Arcane Nullifier</x:v>
      </x:c>
      <x:c r="H61" s="31" t="str">
        <x:v>Arcane Nullifier</x:v>
      </x:c>
      <x:c r="I61" s="31" t="str">
        <x:v>/Lotus/Upgrades/CosmeticEnhancers/Defensive/MagneticProcResist</x:v>
      </x:c>
      <x:c r="J61" s="31" t="str">
        <x:v>VALID</x:v>
      </x:c>
      <x:c r="K61" s="31" t="str">
        <x:v>unique_name, equipment_type, introduced_update, effect_text</x:v>
      </x:c>
      <x:c r="L61" s="62" t="str">
        <x:v>unique_name: Gu=∅ | WFCD=/Lotus/Upgrades/CosmeticEnhancers/Defensive/MagneticProcResist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Magnetic Status proc | WFCD=+102% chance to resist a &lt;DT_MAGNETIC_COLOR&gt;Magnetic Status effect.
+1 Arcane Revive | comparison=HEURISTIC_TEXT_ONLY</x:v>
      </x:c>
      <x:c r="M61" s="62" t="str">
        <x:v>Batch-review the exact-name identity and provenance fields; no game launch is expected.</x:v>
      </x:c>
      <x:c r="N61" s="62" t="str">
        <x:v>Pinned WFCD payload and current Gu row.</x:v>
      </x:c>
      <x:c r="O61" s="31" t="str">
        <x:v>NOT_STARTED</x:v>
      </x:c>
      <x:c r="P61" s="31" t="str"/>
      <x:c r="Q61" s="31" t="str">
        <x:v>Arcane Nullifier</x:v>
      </x:c>
      <x:c r="R61" s="31" t="str">
        <x:v>/Lotus/Upgrades/CosmeticEnhancers/Defensive/MagneticProcResist</x:v>
      </x:c>
      <x:c r="S61" s="62" t="str"/>
      <x:c r="T61" s="62" t="str"/>
      <x:c r="U61" s="31" t="str"/>
      <x:c r="V61" s="65"/>
      <x:c r="W61" s="31" t="str">
        <x:f>IF(AND(O61="COMPLETE",P61&lt;&gt;"",P61&lt;&gt;"DEFER"),"YES","NO")</x:f>
        <x:v>NO</x:v>
      </x:c>
      <x:c r="X61" s="31" t="str">
        <x:v>https://raw.githubusercontent.com/WFCD/warframe-items/f7c69c0786611df81214cabf588160d7af9cc80c/data/json/Arcanes.json</x:v>
      </x:c>
      <x:c r="Y61" s="31" t="str">
        <x:v>f40d0d19-c224-47f8-9ef2-c225f42e91d0</x:v>
      </x:c>
    </x:row>
    <x:row r="62">
      <x:c r="A62" s="31" t="str">
        <x:v>ARC-0055</x:v>
      </x:c>
      <x:c r="B62" s="31" t="str">
        <x:v>P2</x:v>
      </x:c>
      <x:c r="C62" s="31" t="str">
        <x:v>NO</x:v>
      </x:c>
      <x:c r="D62" s="31" t="str">
        <x:v>VALUE_MISMATCH</x:v>
      </x:c>
      <x:c r="E62" s="31" t="str">
        <x:v>EXACT_NORMALIZED_NAME</x:v>
      </x:c>
      <x:c r="F62" s="31" t="str">
        <x:v>169</x:v>
      </x:c>
      <x:c r="G62" s="31" t="str">
        <x:v>Arcane Persistence</x:v>
      </x:c>
      <x:c r="H62" s="31" t="str">
        <x:v>Arcane Persistence</x:v>
      </x:c>
      <x:c r="I62" s="31" t="str">
        <x:v>/Lotus/Upgrades/CosmeticEnhancers/Defensive/MaxDPSTakenForArmour</x:v>
      </x:c>
      <x:c r="J62" s="31" t="str">
        <x:v>VALID</x:v>
      </x:c>
      <x:c r="K62" s="31" t="str">
        <x:v>unique_name, equipment_type, introduced_update, effect_text</x:v>
      </x:c>
      <x:c r="L62" s="62" t="str">
        <x:v>unique_name: Gu=∅ | WFCD=/Lotus/Upgrades/CosmeticEnhancers/Defensive/MaxDPSTakenForArmour | reason=MISSING_OR_DIFFERENT_STABLE_ID
equipment_type: Gu=∅ | WFCD=Warframe Arcane | legacy_subcategory=Descendia; reason=EQUIPMENT_COMPATIBILITY_IS_SEPARATE_FROM_LEGACY_SUBCATEGORY
introduced_update: Gu=41.0 | WFCD=Update 41.0
effect_text: Gu=Remove all Shields. If Armor is above 700: Cannot be hit for more than 500 Damage/s. | WFCD=Remove all Shields. If Armor is above 700: Cannot be hit for more than 500 Damage/s. Magnetic Status and Ability Nullifying Effects disable this protection.\n+1 Arcane Revive
+1 Arcane Revive | comparison=HEURISTIC_TEXT_ONLY</x:v>
      </x:c>
      <x:c r="M62" s="62" t="str">
        <x:v>Batch-review the exact-name identity and provenance fields; no game launch is expected.</x:v>
      </x:c>
      <x:c r="N62" s="62" t="str">
        <x:v>Pinned WFCD payload and current Gu row.</x:v>
      </x:c>
      <x:c r="O62" s="31" t="str">
        <x:v>NOT_STARTED</x:v>
      </x:c>
      <x:c r="P62" s="31" t="str"/>
      <x:c r="Q62" s="31" t="str">
        <x:v>Arcane Persistence</x:v>
      </x:c>
      <x:c r="R62" s="31" t="str">
        <x:v>/Lotus/Upgrades/CosmeticEnhancers/Defensive/MaxDPSTakenForArmour</x:v>
      </x:c>
      <x:c r="S62" s="62" t="str"/>
      <x:c r="T62" s="62" t="str"/>
      <x:c r="U62" s="31" t="str"/>
      <x:c r="V62" s="65"/>
      <x:c r="W62" s="31" t="str">
        <x:f>IF(AND(O62="COMPLETE",P62&lt;&gt;"",P62&lt;&gt;"DEFER"),"YES","NO")</x:f>
        <x:v>NO</x:v>
      </x:c>
      <x:c r="X62" s="31" t="str">
        <x:v>https://raw.githubusercontent.com/WFCD/warframe-items/f7c69c0786611df81214cabf588160d7af9cc80c/data/json/Arcanes.json</x:v>
      </x:c>
      <x:c r="Y62" s="31" t="str">
        <x:v>f40d0d19-c224-47f8-9ef2-c225f42e91d0</x:v>
      </x:c>
    </x:row>
    <x:row r="63">
      <x:c r="A63" s="31" t="str">
        <x:v>ARC-0056</x:v>
      </x:c>
      <x:c r="B63" s="31" t="str">
        <x:v>P2</x:v>
      </x:c>
      <x:c r="C63" s="31" t="str">
        <x:v>NO</x:v>
      </x:c>
      <x:c r="D63" s="31" t="str">
        <x:v>VALUE_MISMATCH</x:v>
      </x:c>
      <x:c r="E63" s="31" t="str">
        <x:v>EXACT_NORMALIZED_NAME</x:v>
      </x:c>
      <x:c r="F63" s="31" t="str">
        <x:v>19</x:v>
      </x:c>
      <x:c r="G63" s="31" t="str">
        <x:v>Arcane Phantasm</x:v>
      </x:c>
      <x:c r="H63" s="31" t="str">
        <x:v>Arcane Phantasm</x:v>
      </x:c>
      <x:c r="I63" s="31" t="str">
        <x:v>/Lotus/Upgrades/CosmeticEnhancers/Defensive/SpeedOnParry</x:v>
      </x:c>
      <x:c r="J63" s="31" t="str">
        <x:v>VALID</x:v>
      </x:c>
      <x:c r="K63" s="31" t="str">
        <x:v>unique_name, equipment_type, introduced_update, effect_text</x:v>
      </x:c>
      <x:c r="L63" s="62" t="str">
        <x:v>unique_name: Gu=∅ | WFCD=/Lotus/Upgrades/CosmeticEnhancers/Defensive/SpeedOnParry | reason=MISSING_OR_DIFFERENT_STABLE_ID
equipment_type: Gu=∅ | WFCD=Warframe Arcane | legacy_subcategory=Eidolon; reason=EQUIPMENT_COMPATIBILITY_IS_SEPARATE_FROM_LEGACY_SUBCATEGORY
introduced_update: Gu=22.14 | WFCD=Update 16.0
effect_text: Gu=+60% Sprint Speed for 4s | WFCD=On Block:\n45% chance for +60% Speed for 18s\n+1 Arcane Revive
+1 Arcane Revive | comparison=HEURISTIC_TEXT_ONLY</x:v>
      </x:c>
      <x:c r="M63" s="62" t="str">
        <x:v>Batch-review the exact-name identity and provenance fields; no game launch is expected.</x:v>
      </x:c>
      <x:c r="N63" s="62" t="str">
        <x:v>Pinned WFCD payload and current Gu row.</x:v>
      </x:c>
      <x:c r="O63" s="31" t="str">
        <x:v>NOT_STARTED</x:v>
      </x:c>
      <x:c r="P63" s="31" t="str"/>
      <x:c r="Q63" s="31" t="str">
        <x:v>Arcane Phantasm</x:v>
      </x:c>
      <x:c r="R63" s="31" t="str">
        <x:v>/Lotus/Upgrades/CosmeticEnhancers/Defensive/SpeedOnParry</x:v>
      </x:c>
      <x:c r="S63" s="62" t="str"/>
      <x:c r="T63" s="62" t="str"/>
      <x:c r="U63" s="31" t="str"/>
      <x:c r="V63" s="65"/>
      <x:c r="W63" s="31" t="str">
        <x:f>IF(AND(O63="COMPLETE",P63&lt;&gt;"",P63&lt;&gt;"DEFER"),"YES","NO")</x:f>
        <x:v>NO</x:v>
      </x:c>
      <x:c r="X63" s="31" t="str">
        <x:v>https://raw.githubusercontent.com/WFCD/warframe-items/f7c69c0786611df81214cabf588160d7af9cc80c/data/json/Arcanes.json</x:v>
      </x:c>
      <x:c r="Y63" s="31" t="str">
        <x:v>f40d0d19-c224-47f8-9ef2-c225f42e91d0</x:v>
      </x:c>
    </x:row>
    <x:row r="64">
      <x:c r="A64" s="31" t="str">
        <x:v>ARC-0057</x:v>
      </x:c>
      <x:c r="B64" s="31" t="str">
        <x:v>P2</x:v>
      </x:c>
      <x:c r="C64" s="31" t="str">
        <x:v>NO</x:v>
      </x:c>
      <x:c r="D64" s="31" t="str">
        <x:v>VALUE_MISMATCH</x:v>
      </x:c>
      <x:c r="E64" s="31" t="str">
        <x:v>EXACT_NORMALIZED_NAME</x:v>
      </x:c>
      <x:c r="F64" s="31" t="str">
        <x:v>72</x:v>
      </x:c>
      <x:c r="G64" s="31" t="str">
        <x:v>Arcane Pistoleer</x:v>
      </x:c>
      <x:c r="H64" s="31" t="str">
        <x:v>Arcane Pistoleer</x:v>
      </x:c>
      <x:c r="I64" s="31" t="str">
        <x:v>/Lotus/Upgrades/CosmeticEnhancers/Offensive/AmmoEfficiencyOnPistolHeadshot</x:v>
      </x:c>
      <x:c r="J64" s="31" t="str">
        <x:v>VALID</x:v>
      </x:c>
      <x:c r="K64" s="31" t="str">
        <x:v>unique_name, equipment_type, introduced_update, effect_text</x:v>
      </x:c>
      <x:c r="L64" s="62" t="str">
        <x:v>unique_name: Gu=∅ | WFCD=/Lotus/Upgrades/CosmeticEnhancers/Offensive/AmmoEfficiencyOnPistolHeadshot | reason=MISSING_OR_DIFFERENT_STABLE_ID
equipment_type: Gu=∅ | WFCD=Warframe Arcane | legacy_subcategory=Eidolon; reason=EQUIPMENT_COMPATIBILITY_IS_SEPARATE_FROM_LEGACY_SUBCATEGORY
introduced_update: Gu=25.7.6 | WFCD=Hotfix 25.7.6
effect_text: Gu=Infinite Secondary Ammo for 12s | WFCD=On Pistol Headshot Kill:\n60% chance for +102% Ammo Efficiency for 12s\n+1 Arcane Revive
+1 Arcane Revive | comparison=HEURISTIC_TEXT_ONLY</x:v>
      </x:c>
      <x:c r="M64" s="62" t="str">
        <x:v>Batch-review the exact-name identity and provenance fields; no game launch is expected.</x:v>
      </x:c>
      <x:c r="N64" s="62" t="str">
        <x:v>Pinned WFCD payload and current Gu row.</x:v>
      </x:c>
      <x:c r="O64" s="31" t="str">
        <x:v>NOT_STARTED</x:v>
      </x:c>
      <x:c r="P64" s="31" t="str"/>
      <x:c r="Q64" s="31" t="str">
        <x:v>Arcane Pistoleer</x:v>
      </x:c>
      <x:c r="R64" s="31" t="str">
        <x:v>/Lotus/Upgrades/CosmeticEnhancers/Offensive/AmmoEfficiencyOnPistolHeadshot</x:v>
      </x:c>
      <x:c r="S64" s="62" t="str"/>
      <x:c r="T64" s="62" t="str"/>
      <x:c r="U64" s="31" t="str"/>
      <x:c r="V64" s="65"/>
      <x:c r="W64" s="31" t="str">
        <x:f>IF(AND(O64="COMPLETE",P64&lt;&gt;"",P64&lt;&gt;"DEFER"),"YES","NO")</x:f>
        <x:v>NO</x:v>
      </x:c>
      <x:c r="X64" s="31" t="str">
        <x:v>https://raw.githubusercontent.com/WFCD/warframe-items/f7c69c0786611df81214cabf588160d7af9cc80c/data/json/Arcanes.json</x:v>
      </x:c>
      <x:c r="Y64" s="31" t="str">
        <x:v>f40d0d19-c224-47f8-9ef2-c225f42e91d0</x:v>
      </x:c>
    </x:row>
    <x:row r="65">
      <x:c r="A65" s="31" t="str">
        <x:v>ARC-0058</x:v>
      </x:c>
      <x:c r="B65" s="31" t="str">
        <x:v>P2</x:v>
      </x:c>
      <x:c r="C65" s="31" t="str">
        <x:v>NO</x:v>
      </x:c>
      <x:c r="D65" s="31" t="str">
        <x:v>VALUE_MISMATCH</x:v>
      </x:c>
      <x:c r="E65" s="31" t="str">
        <x:v>EXACT_NORMALIZED_NAME</x:v>
      </x:c>
      <x:c r="F65" s="31" t="str">
        <x:v>417</x:v>
      </x:c>
      <x:c r="G65" s="31" t="str">
        <x:v>Arcane Power Ramp</x:v>
      </x:c>
      <x:c r="H65" s="31" t="str">
        <x:v>Arcane Power Ramp</x:v>
      </x:c>
      <x:c r="I65" s="31" t="str">
        <x:v>/Lotus/Upgrades/CosmeticEnhancers/Offensive/AbilityStrengthOnCast</x:v>
      </x:c>
      <x:c r="J65" s="31" t="str">
        <x:v>VALID</x:v>
      </x:c>
      <x:c r="K65" s="31" t="str">
        <x:v>unique_name, equipment_type, introduced_update, effect_text</x:v>
      </x:c>
      <x:c r="L65" s="62" t="str">
        <x:v>unique_name: Gu=∅ | WFCD=/Lotus/Upgrades/CosmeticEnhancers/Offensive/AbilityStrengthOnCast | reason=MISSING_OR_DIFFERENT_STABLE_ID
equipment_type: Gu=∅ | WFCD=Warframe Arcane | legacy_subcategory=; reason=EQUIPMENT_COMPATIBILITY_IS_SEPARATE_FROM_LEGACY_SUBCATEGORY
introduced_update: Gu=∅ | WFCD=Update 33.5
effect_text: Gu=∅ | WFCD=On Ability Cast: Next Ability cast gains +9% Ability Strength, stacking up to 4x. Resets when the same ability is recast consecutively.
+1 Arcane Revive | comparison=HEURISTIC_TEXT_ONLY</x:v>
      </x:c>
      <x:c r="M65" s="62" t="str">
        <x:v>Batch-review the exact-name identity and provenance fields; no game launch is expected.</x:v>
      </x:c>
      <x:c r="N65" s="62" t="str">
        <x:v>Pinned WFCD payload and current Gu row.</x:v>
      </x:c>
      <x:c r="O65" s="31" t="str">
        <x:v>NOT_STARTED</x:v>
      </x:c>
      <x:c r="P65" s="31" t="str"/>
      <x:c r="Q65" s="31" t="str">
        <x:v>Arcane Power Ramp</x:v>
      </x:c>
      <x:c r="R65" s="31" t="str">
        <x:v>/Lotus/Upgrades/CosmeticEnhancers/Offensive/AbilityStrengthOnCast</x:v>
      </x:c>
      <x:c r="S65" s="62" t="str"/>
      <x:c r="T65" s="62" t="str"/>
      <x:c r="U65" s="31" t="str"/>
      <x:c r="V65" s="65"/>
      <x:c r="W65" s="31" t="str">
        <x:f>IF(AND(O65="COMPLETE",P65&lt;&gt;"",P65&lt;&gt;"DEFER"),"YES","NO")</x:f>
        <x:v>NO</x:v>
      </x:c>
      <x:c r="X65" s="31" t="str">
        <x:v>https://raw.githubusercontent.com/WFCD/warframe-items/f7c69c0786611df81214cabf588160d7af9cc80c/data/json/Arcanes.json</x:v>
      </x:c>
      <x:c r="Y65" s="31" t="str">
        <x:v>f40d0d19-c224-47f8-9ef2-c225f42e91d0</x:v>
      </x:c>
    </x:row>
    <x:row r="66">
      <x:c r="A66" s="31" t="str">
        <x:v>ARC-0059</x:v>
      </x:c>
      <x:c r="B66" s="31" t="str">
        <x:v>P2</x:v>
      </x:c>
      <x:c r="C66" s="31" t="str">
        <x:v>NO</x:v>
      </x:c>
      <x:c r="D66" s="31" t="str">
        <x:v>VALUE_MISMATCH</x:v>
      </x:c>
      <x:c r="E66" s="31" t="str">
        <x:v>EXACT_NORMALIZED_NAME</x:v>
      </x:c>
      <x:c r="F66" s="31" t="str">
        <x:v>20</x:v>
      </x:c>
      <x:c r="G66" s="31" t="str">
        <x:v>Arcane Precision</x:v>
      </x:c>
      <x:c r="H66" s="31" t="str">
        <x:v>Arcane Precision</x:v>
      </x:c>
      <x:c r="I66" s="31" t="str">
        <x:v>/Lotus/Upgrades/CosmeticEnhancers/Offensive/GolemArcanePistolDamageOnHeadshot</x:v>
      </x:c>
      <x:c r="J66" s="31" t="str">
        <x:v>VALID</x:v>
      </x:c>
      <x:c r="K66" s="31" t="str">
        <x:v>unique_name, equipment_type, introduced_update, effect_text</x:v>
      </x:c>
      <x:c r="L66" s="62" t="str">
        <x:v>unique_name: Gu=∅ | WFCD=/Lotus/Upgrades/CosmeticEnhancers/Offensive/GolemArcanePistolDamageOnHeadshot | reason=MISSING_OR_DIFFERENT_STABLE_ID
equipment_type: Gu=∅ | WFCD=Warframe Arcane | legacy_subcategory=Eidolon; reason=EQUIPMENT_COMPATIBILITY_IS_SEPARATE_FROM_LEGACY_SUBCATEGORY
introduced_update: Gu=22.14 | WFCD=Update 17.9.1
effect_text: Gu=+300% Secondary Damage for 12s | WFCD=On Headshot:\n+300% Damage for 18s on Secondary Weapon\n+1 Arcane Revive
+1 Arcane Revive | comparison=HEURISTIC_TEXT_ONLY</x:v>
      </x:c>
      <x:c r="M66" s="62" t="str">
        <x:v>Batch-review the exact-name identity and provenance fields; no game launch is expected.</x:v>
      </x:c>
      <x:c r="N66" s="62" t="str">
        <x:v>Pinned WFCD payload and current Gu row.</x:v>
      </x:c>
      <x:c r="O66" s="31" t="str">
        <x:v>NOT_STARTED</x:v>
      </x:c>
      <x:c r="P66" s="31" t="str"/>
      <x:c r="Q66" s="31" t="str">
        <x:v>Arcane Precision</x:v>
      </x:c>
      <x:c r="R66" s="31" t="str">
        <x:v>/Lotus/Upgrades/CosmeticEnhancers/Offensive/GolemArcanePistolDamageOnHeadshot</x:v>
      </x:c>
      <x:c r="S66" s="62" t="str"/>
      <x:c r="T66" s="62" t="str"/>
      <x:c r="U66" s="31" t="str"/>
      <x:c r="V66" s="65"/>
      <x:c r="W66" s="31" t="str">
        <x:f>IF(AND(O66="COMPLETE",P66&lt;&gt;"",P66&lt;&gt;"DEFER"),"YES","NO")</x:f>
        <x:v>NO</x:v>
      </x:c>
      <x:c r="X66" s="31" t="str">
        <x:v>https://raw.githubusercontent.com/WFCD/warframe-items/f7c69c0786611df81214cabf588160d7af9cc80c/data/json/Arcanes.json</x:v>
      </x:c>
      <x:c r="Y66" s="31" t="str">
        <x:v>f40d0d19-c224-47f8-9ef2-c225f42e91d0</x:v>
      </x:c>
    </x:row>
    <x:row r="67">
      <x:c r="A67" s="31" t="str">
        <x:v>ARC-0060</x:v>
      </x:c>
      <x:c r="B67" s="31" t="str">
        <x:v>P2</x:v>
      </x:c>
      <x:c r="C67" s="31" t="str">
        <x:v>NO</x:v>
      </x:c>
      <x:c r="D67" s="31" t="str">
        <x:v>VALUE_MISMATCH</x:v>
      </x:c>
      <x:c r="E67" s="31" t="str">
        <x:v>EXACT_NORMALIZED_NAME</x:v>
      </x:c>
      <x:c r="F67" s="31" t="str">
        <x:v>74</x:v>
      </x:c>
      <x:c r="G67" s="31" t="str">
        <x:v>Arcane Primary Charger</x:v>
      </x:c>
      <x:c r="H67" s="31" t="str">
        <x:v>Arcane Primary Charger</x:v>
      </x:c>
      <x:c r="I67" s="31" t="str">
        <x:v>/Lotus/Upgrades/CosmeticEnhancers/Offensive/PrimaryDmgOnMeleeKill</x:v>
      </x:c>
      <x:c r="J67" s="31" t="str">
        <x:v>VALID</x:v>
      </x:c>
      <x:c r="K67" s="31" t="str">
        <x:v>unique_name, equipment_type, introduced_update, effect_text</x:v>
      </x:c>
      <x:c r="L67" s="62" t="str">
        <x:v>unique_name: Gu=∅ | WFCD=/Lotus/Upgrades/CosmeticEnhancers/Offensive/PrimaryDmgOnMeleeKill | reason=MISSING_OR_DIFFERENT_STABLE_ID
equipment_type: Gu=∅ | WFCD=Warframe Arcane | legacy_subcategory=Eidolon; reason=EQUIPMENT_COMPATIBILITY_IS_SEPARATE_FROM_LEGACY_SUBCATEGORY
introduced_update: Gu=25.7.6 | WFCD=Hotfix 25.7.6
effect_text: Gu=+100% Primary Damage for 24s | WFCD=On Melee Kill:\n30% chance for +300% Primary Weapon Damage for 12s\n+1 Arcane Revive
+1 Arcane Revive | comparison=HEURISTIC_TEXT_ONLY</x:v>
      </x:c>
      <x:c r="M67" s="62" t="str">
        <x:v>Batch-review the exact-name identity and provenance fields; no game launch is expected.</x:v>
      </x:c>
      <x:c r="N67" s="62" t="str">
        <x:v>Pinned WFCD payload and current Gu row.</x:v>
      </x:c>
      <x:c r="O67" s="31" t="str">
        <x:v>NOT_STARTED</x:v>
      </x:c>
      <x:c r="P67" s="31" t="str"/>
      <x:c r="Q67" s="31" t="str">
        <x:v>Arcane Primary Charger</x:v>
      </x:c>
      <x:c r="R67" s="31" t="str">
        <x:v>/Lotus/Upgrades/CosmeticEnhancers/Offensive/PrimaryDmgOnMeleeKill</x:v>
      </x:c>
      <x:c r="S67" s="62" t="str"/>
      <x:c r="T67" s="62" t="str"/>
      <x:c r="U67" s="31" t="str"/>
      <x:c r="V67" s="65"/>
      <x:c r="W67" s="31" t="str">
        <x:f>IF(AND(O67="COMPLETE",P67&lt;&gt;"",P67&lt;&gt;"DEFER"),"YES","NO")</x:f>
        <x:v>NO</x:v>
      </x:c>
      <x:c r="X67" s="31" t="str">
        <x:v>https://raw.githubusercontent.com/WFCD/warframe-items/f7c69c0786611df81214cabf588160d7af9cc80c/data/json/Arcanes.json</x:v>
      </x:c>
      <x:c r="Y67" s="31" t="str">
        <x:v>f40d0d19-c224-47f8-9ef2-c225f42e91d0</x:v>
      </x:c>
    </x:row>
    <x:row r="68">
      <x:c r="A68" s="31" t="str">
        <x:v>ARC-0061</x:v>
      </x:c>
      <x:c r="B68" s="31" t="str">
        <x:v>P2</x:v>
      </x:c>
      <x:c r="C68" s="31" t="str">
        <x:v>NO</x:v>
      </x:c>
      <x:c r="D68" s="31" t="str">
        <x:v>VALUE_MISMATCH</x:v>
      </x:c>
      <x:c r="E68" s="31" t="str">
        <x:v>EXACT_NORMALIZED_NAME</x:v>
      </x:c>
      <x:c r="F68" s="31" t="str">
        <x:v>21</x:v>
      </x:c>
      <x:c r="G68" s="31" t="str">
        <x:v>Arcane Pulse</x:v>
      </x:c>
      <x:c r="H68" s="31" t="str">
        <x:v>Arcane Pulse</x:v>
      </x:c>
      <x:c r="I68" s="31" t="str">
        <x:v>/Lotus/Upgrades/CosmeticEnhancers/Utility/RadialHealOnHealthPickup</x:v>
      </x:c>
      <x:c r="J68" s="31" t="str">
        <x:v>VALID</x:v>
      </x:c>
      <x:c r="K68" s="31" t="str">
        <x:v>unique_name, equipment_type, introduced_update, effect_text</x:v>
      </x:c>
      <x:c r="L68" s="62" t="str">
        <x:v>unique_name: Gu=∅ | WFCD=/Lotus/Upgrades/CosmeticEnhancers/Utility/RadialHealOnHealthPickup | reason=MISSING_OR_DIFFERENT_STABLE_ID
equipment_type: Gu=∅ | WFCD=Warframe Arcane | legacy_subcategory=Eidolon; reason=EQUIPMENT_COMPATIBILITY_IS_SEPARATE_FROM_LEGACY_SUBCATEGORY
introduced_update: Gu=22.14 | WFCD=Update 16.0
effect_text: Gu=Restore 150 HP to allies within 25m | WFCD=On Health Pickup:\n60% chance to restore 500 Health to allies within 25m\n15s cooldown\n+1 Arcane Revive
+1 Arcane Revive | comparison=HEURISTIC_TEXT_ONLY</x:v>
      </x:c>
      <x:c r="M68" s="62" t="str">
        <x:v>Batch-review the exact-name identity and provenance fields; no game launch is expected.</x:v>
      </x:c>
      <x:c r="N68" s="62" t="str">
        <x:v>Pinned WFCD payload and current Gu row.</x:v>
      </x:c>
      <x:c r="O68" s="31" t="str">
        <x:v>NOT_STARTED</x:v>
      </x:c>
      <x:c r="P68" s="31" t="str"/>
      <x:c r="Q68" s="31" t="str">
        <x:v>Arcane Pulse</x:v>
      </x:c>
      <x:c r="R68" s="31" t="str">
        <x:v>/Lotus/Upgrades/CosmeticEnhancers/Utility/RadialHealOnHealthPickup</x:v>
      </x:c>
      <x:c r="S68" s="62" t="str"/>
      <x:c r="T68" s="62" t="str"/>
      <x:c r="U68" s="31" t="str"/>
      <x:c r="V68" s="65"/>
      <x:c r="W68" s="31" t="str">
        <x:f>IF(AND(O68="COMPLETE",P68&lt;&gt;"",P68&lt;&gt;"DEFER"),"YES","NO")</x:f>
        <x:v>NO</x:v>
      </x:c>
      <x:c r="X68" s="31" t="str">
        <x:v>https://raw.githubusercontent.com/WFCD/warframe-items/f7c69c0786611df81214cabf588160d7af9cc80c/data/json/Arcanes.json</x:v>
      </x:c>
      <x:c r="Y68" s="31" t="str">
        <x:v>f40d0d19-c224-47f8-9ef2-c225f42e91d0</x:v>
      </x:c>
    </x:row>
    <x:row r="69">
      <x:c r="A69" s="31" t="str">
        <x:v>ARC-0062</x:v>
      </x:c>
      <x:c r="B69" s="31" t="str">
        <x:v>P2</x:v>
      </x:c>
      <x:c r="C69" s="31" t="str">
        <x:v>NO</x:v>
      </x:c>
      <x:c r="D69" s="31" t="str">
        <x:v>VALUE_MISMATCH</x:v>
      </x:c>
      <x:c r="E69" s="31" t="str">
        <x:v>EXACT_NORMALIZED_NAME</x:v>
      </x:c>
      <x:c r="F69" s="31" t="str">
        <x:v>22</x:v>
      </x:c>
      <x:c r="G69" s="31" t="str">
        <x:v>Arcane Rage</x:v>
      </x:c>
      <x:c r="H69" s="31" t="str">
        <x:v>Arcane Rage</x:v>
      </x:c>
      <x:c r="I69" s="31" t="str">
        <x:v>/Lotus/Upgrades/CosmeticEnhancers/Offensive/LongGunDamageOnHeadshot</x:v>
      </x:c>
      <x:c r="J69" s="31" t="str">
        <x:v>VALID</x:v>
      </x:c>
      <x:c r="K69" s="31" t="str">
        <x:v>unique_name, equipment_type, introduced_update, effect_text</x:v>
      </x:c>
      <x:c r="L69" s="62" t="str">
        <x:v>unique_name: Gu=∅ | WFCD=/Lotus/Upgrades/CosmeticEnhancers/Offensive/LongGunDamageOnHeadshot | reason=MISSING_OR_DIFFERENT_STABLE_ID
equipment_type: Gu=∅ | WFCD=Warframe Arcane | legacy_subcategory=Eidolon; reason=EQUIPMENT_COMPATIBILITY_IS_SEPARATE_FROM_LEGACY_SUBCATEGORY
introduced_update: Gu=22.14 | WFCD=Update 16.0
effect_text: Gu=+120% Primary Damage for 12s | WFCD=On Headshot:\n15% chance for +180% Damage to Primary Weapons for 24s\n+1 Arcane Revive
+1 Arcane Revive | comparison=HEURISTIC_TEXT_ONLY</x:v>
      </x:c>
      <x:c r="M69" s="62" t="str">
        <x:v>Batch-review the exact-name identity and provenance fields; no game launch is expected.</x:v>
      </x:c>
      <x:c r="N69" s="62" t="str">
        <x:v>Pinned WFCD payload and current Gu row.</x:v>
      </x:c>
      <x:c r="O69" s="31" t="str">
        <x:v>NOT_STARTED</x:v>
      </x:c>
      <x:c r="P69" s="31" t="str"/>
      <x:c r="Q69" s="31" t="str">
        <x:v>Arcane Rage</x:v>
      </x:c>
      <x:c r="R69" s="31" t="str">
        <x:v>/Lotus/Upgrades/CosmeticEnhancers/Offensive/LongGunDamageOnHeadshot</x:v>
      </x:c>
      <x:c r="S69" s="62" t="str"/>
      <x:c r="T69" s="62" t="str"/>
      <x:c r="U69" s="31" t="str"/>
      <x:c r="V69" s="65"/>
      <x:c r="W69" s="31" t="str">
        <x:f>IF(AND(O69="COMPLETE",P69&lt;&gt;"",P69&lt;&gt;"DEFER"),"YES","NO")</x:f>
        <x:v>NO</x:v>
      </x:c>
      <x:c r="X69" s="31" t="str">
        <x:v>https://raw.githubusercontent.com/WFCD/warframe-items/f7c69c0786611df81214cabf588160d7af9cc80c/data/json/Arcanes.json</x:v>
      </x:c>
      <x:c r="Y69" s="31" t="str">
        <x:v>f40d0d19-c224-47f8-9ef2-c225f42e91d0</x:v>
      </x:c>
    </x:row>
    <x:row r="70">
      <x:c r="A70" s="31" t="str">
        <x:v>ARC-0063</x:v>
      </x:c>
      <x:c r="B70" s="31" t="str">
        <x:v>P2</x:v>
      </x:c>
      <x:c r="C70" s="31" t="str">
        <x:v>NO</x:v>
      </x:c>
      <x:c r="D70" s="31" t="str">
        <x:v>VALUE_MISMATCH</x:v>
      </x:c>
      <x:c r="E70" s="31" t="str">
        <x:v>EXACT_NORMALIZED_NAME</x:v>
      </x:c>
      <x:c r="F70" s="31" t="str">
        <x:v>418</x:v>
      </x:c>
      <x:c r="G70" s="31" t="str">
        <x:v>Arcane Reaper</x:v>
      </x:c>
      <x:c r="H70" s="31" t="str">
        <x:v>Arcane Reaper</x:v>
      </x:c>
      <x:c r="I70" s="31" t="str">
        <x:v>/Lotus/Upgrades/CosmeticEnhancers/OperatorArmour/HealthRegenAndArmorOnMeleeKill</x:v>
      </x:c>
      <x:c r="J70" s="31" t="str">
        <x:v>VALID</x:v>
      </x:c>
      <x:c r="K70" s="31" t="str">
        <x:v>unique_name, equipment_type, introduced_update, effect_text</x:v>
      </x:c>
      <x:c r="L70" s="62" t="str">
        <x:v>unique_name: Gu=∅ | WFCD=/Lotus/Upgrades/CosmeticEnhancers/OperatorArmour/HealthRegenAndArmorOnMeleeKill | reason=MISSING_OR_DIFFERENT_STABLE_ID
equipment_type: Gu=∅ | WFCD=Warframe Arcane | legacy_subcategory=; reason=EQUIPMENT_COMPATIBILITY_IS_SEPARATE_FROM_LEGACY_SUBCATEGORY
introduced_update: Gu=∅ | WFCD=Update 33.0
effect_text: Gu=∅ | WFCD=On Melee Kill:\n+24 Health Regen/s and +660 Armor for 10s.\n+1 Arcane Revive
+1 Arcane Revive | comparison=HEURISTIC_TEXT_ONLY</x:v>
      </x:c>
      <x:c r="M70" s="62" t="str">
        <x:v>Batch-review the exact-name identity and provenance fields; no game launch is expected.</x:v>
      </x:c>
      <x:c r="N70" s="62" t="str">
        <x:v>Pinned WFCD payload and current Gu row.</x:v>
      </x:c>
      <x:c r="O70" s="31" t="str">
        <x:v>NOT_STARTED</x:v>
      </x:c>
      <x:c r="P70" s="31" t="str"/>
      <x:c r="Q70" s="31" t="str">
        <x:v>Arcane Reaper</x:v>
      </x:c>
      <x:c r="R70" s="31" t="str">
        <x:v>/Lotus/Upgrades/CosmeticEnhancers/OperatorArmour/HealthRegenAndArmorOnMeleeKill</x:v>
      </x:c>
      <x:c r="S70" s="62" t="str"/>
      <x:c r="T70" s="62" t="str"/>
      <x:c r="U70" s="31" t="str"/>
      <x:c r="V70" s="65"/>
      <x:c r="W70" s="31" t="str">
        <x:f>IF(AND(O70="COMPLETE",P70&lt;&gt;"",P70&lt;&gt;"DEFER"),"YES","NO")</x:f>
        <x:v>NO</x:v>
      </x:c>
      <x:c r="X70" s="31" t="str">
        <x:v>https://raw.githubusercontent.com/WFCD/warframe-items/f7c69c0786611df81214cabf588160d7af9cc80c/data/json/Arcanes.json</x:v>
      </x:c>
      <x:c r="Y70" s="31" t="str">
        <x:v>f40d0d19-c224-47f8-9ef2-c225f42e91d0</x:v>
      </x:c>
    </x:row>
    <x:row r="71">
      <x:c r="A71" s="31" t="str">
        <x:v>ARC-0064</x:v>
      </x:c>
      <x:c r="B71" s="31" t="str">
        <x:v>P2</x:v>
      </x:c>
      <x:c r="C71" s="31" t="str">
        <x:v>NO</x:v>
      </x:c>
      <x:c r="D71" s="31" t="str">
        <x:v>VALUE_MISMATCH</x:v>
      </x:c>
      <x:c r="E71" s="31" t="str">
        <x:v>EXACT_NORMALIZED_NAME</x:v>
      </x:c>
      <x:c r="F71" s="31" t="str">
        <x:v>23</x:v>
      </x:c>
      <x:c r="G71" s="31" t="str">
        <x:v>Arcane Resistance</x:v>
      </x:c>
      <x:c r="H71" s="31" t="str">
        <x:v>Arcane Resistance</x:v>
      </x:c>
      <x:c r="I71" s="31" t="str">
        <x:v>/Lotus/Upgrades/CosmeticEnhancers/Defensive/ElectricityProcResist</x:v>
      </x:c>
      <x:c r="J71" s="31" t="str">
        <x:v>VALID</x:v>
      </x:c>
      <x:c r="K71" s="31" t="str">
        <x:v>unique_name, equipment_type, introduced_update, effect_text</x:v>
      </x:c>
      <x:c r="L71" s="62" t="str">
        <x:v>unique_name: Gu=∅ | WFCD=/Lotus/Upgrades/CosmeticEnhancers/Defensive/ElectricityProcResist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Poison Status proc | WFCD=+102% chance to resist a &lt;DT_POISON_COLOR&gt;Toxin Status effect.
+1 Arcane Revive | comparison=HEURISTIC_TEXT_ONLY</x:v>
      </x:c>
      <x:c r="M71" s="62" t="str">
        <x:v>Batch-review the exact-name identity and provenance fields; no game launch is expected.</x:v>
      </x:c>
      <x:c r="N71" s="62" t="str">
        <x:v>Pinned WFCD payload and current Gu row.</x:v>
      </x:c>
      <x:c r="O71" s="31" t="str">
        <x:v>NOT_STARTED</x:v>
      </x:c>
      <x:c r="P71" s="31" t="str"/>
      <x:c r="Q71" s="31" t="str">
        <x:v>Arcane Resistance</x:v>
      </x:c>
      <x:c r="R71" s="31" t="str">
        <x:v>/Lotus/Upgrades/CosmeticEnhancers/Defensive/ElectricityProcResist</x:v>
      </x:c>
      <x:c r="S71" s="62" t="str"/>
      <x:c r="T71" s="62" t="str"/>
      <x:c r="U71" s="31" t="str"/>
      <x:c r="V71" s="65"/>
      <x:c r="W71" s="31" t="str">
        <x:f>IF(AND(O71="COMPLETE",P71&lt;&gt;"",P71&lt;&gt;"DEFER"),"YES","NO")</x:f>
        <x:v>NO</x:v>
      </x:c>
      <x:c r="X71" s="31" t="str">
        <x:v>https://raw.githubusercontent.com/WFCD/warframe-items/f7c69c0786611df81214cabf588160d7af9cc80c/data/json/Arcanes.json</x:v>
      </x:c>
      <x:c r="Y71" s="31" t="str">
        <x:v>f40d0d19-c224-47f8-9ef2-c225f42e91d0</x:v>
      </x:c>
    </x:row>
    <x:row r="72">
      <x:c r="A72" s="31" t="str">
        <x:v>ARC-0065</x:v>
      </x:c>
      <x:c r="B72" s="31" t="str">
        <x:v>P2</x:v>
      </x:c>
      <x:c r="C72" s="31" t="str">
        <x:v>NO</x:v>
      </x:c>
      <x:c r="D72" s="31" t="str">
        <x:v>VALUE_MISMATCH</x:v>
      </x:c>
      <x:c r="E72" s="31" t="str">
        <x:v>EXACT_NORMALIZED_NAME</x:v>
      </x:c>
      <x:c r="F72" s="31" t="str">
        <x:v>78</x:v>
      </x:c>
      <x:c r="G72" s="31" t="str">
        <x:v>Arcane Rise</x:v>
      </x:c>
      <x:c r="H72" s="31" t="str">
        <x:v>Arcane Rise</x:v>
      </x:c>
      <x:c r="I72" s="31" t="str">
        <x:v>/Lotus/Upgrades/CosmeticEnhancers/Utility/LongGunDamageOnReload</x:v>
      </x:c>
      <x:c r="J72" s="31" t="str">
        <x:v>VALID</x:v>
      </x:c>
      <x:c r="K72" s="31" t="str">
        <x:v>unique_name, equipment_type, introduced_update, effect_text</x:v>
      </x:c>
      <x:c r="L72" s="62" t="str">
        <x:v>unique_name: Gu=∅ | WFCD=/Lotus/Upgrades/CosmeticEnhancers/Utility/LongGunDamageOnReload | reason=MISSING_OR_DIFFERENT_STABLE_ID
equipment_type: Gu=∅ | WFCD=Warframe Arcane | legacy_subcategory=Eidolon; reason=EQUIPMENT_COMPATIBILITY_IS_SEPARATE_FROM_LEGACY_SUBCATEGORY
introduced_update: Gu=22.14 | WFCD=Update 32.2
effect_text: Gu=+75% Primary Damage for 12s | WFCD=On Reload:\n60% chance for +150% Damage to Primary Weapons for 24s\n+1 Arcane Revive
+1 Arcane Revive | comparison=HEURISTIC_TEXT_ONLY</x:v>
      </x:c>
      <x:c r="M72" s="62" t="str">
        <x:v>Batch-review the exact-name identity and provenance fields; no game launch is expected.</x:v>
      </x:c>
      <x:c r="N72" s="62" t="str">
        <x:v>Pinned WFCD payload and current Gu row.</x:v>
      </x:c>
      <x:c r="O72" s="31" t="str">
        <x:v>NOT_STARTED</x:v>
      </x:c>
      <x:c r="P72" s="31" t="str"/>
      <x:c r="Q72" s="31" t="str">
        <x:v>Arcane Rise</x:v>
      </x:c>
      <x:c r="R72" s="31" t="str">
        <x:v>/Lotus/Upgrades/CosmeticEnhancers/Utility/LongGunDamageOnReload</x:v>
      </x:c>
      <x:c r="S72" s="62" t="str"/>
      <x:c r="T72" s="62" t="str"/>
      <x:c r="U72" s="31" t="str"/>
      <x:c r="V72" s="65"/>
      <x:c r="W72" s="31" t="str">
        <x:f>IF(AND(O72="COMPLETE",P72&lt;&gt;"",P72&lt;&gt;"DEFER"),"YES","NO")</x:f>
        <x:v>NO</x:v>
      </x:c>
      <x:c r="X72" s="31" t="str">
        <x:v>https://raw.githubusercontent.com/WFCD/warframe-items/f7c69c0786611df81214cabf588160d7af9cc80c/data/json/Arcanes.json</x:v>
      </x:c>
      <x:c r="Y72" s="31" t="str">
        <x:v>f40d0d19-c224-47f8-9ef2-c225f42e91d0</x:v>
      </x:c>
    </x:row>
    <x:row r="73">
      <x:c r="A73" s="31" t="str">
        <x:v>ARC-0066</x:v>
      </x:c>
      <x:c r="B73" s="31" t="str">
        <x:v>P2</x:v>
      </x:c>
      <x:c r="C73" s="31" t="str">
        <x:v>NO</x:v>
      </x:c>
      <x:c r="D73" s="31" t="str">
        <x:v>VALUE_MISMATCH</x:v>
      </x:c>
      <x:c r="E73" s="31" t="str">
        <x:v>EXACT_NORMALIZED_NAME</x:v>
      </x:c>
      <x:c r="F73" s="31" t="str">
        <x:v>24</x:v>
      </x:c>
      <x:c r="G73" s="31" t="str">
        <x:v>Arcane Strike</x:v>
      </x:c>
      <x:c r="H73" s="31" t="str">
        <x:v>Arcane Strike</x:v>
      </x:c>
      <x:c r="I73" s="31" t="str">
        <x:v>/Lotus/Upgrades/CosmeticEnhancers/Offensive/MeleeSpeedOnHit</x:v>
      </x:c>
      <x:c r="J73" s="31" t="str">
        <x:v>VALID</x:v>
      </x:c>
      <x:c r="K73" s="31" t="str">
        <x:v>unique_name, equipment_type, introduced_update, effect_text</x:v>
      </x:c>
      <x:c r="L73" s="62" t="str">
        <x:v>unique_name: Gu=∅ | WFCD=/Lotus/Upgrades/CosmeticEnhancers/Offensive/MeleeSpeedOnHit | reason=MISSING_OR_DIFFERENT_STABLE_ID
equipment_type: Gu=∅ | WFCD=Warframe Arcane | legacy_subcategory=Eidolon; reason=EQUIPMENT_COMPATIBILITY_IS_SEPARATE_FROM_LEGACY_SUBCATEGORY
introduced_update: Gu=22.14 | WFCD=Update 16.0
effect_text: Gu=+60% Attack Speed for 6s | WFCD=On Hit:\n15% chance for +60% Attack Speed to Melee Weapons for 18s\n+1 Arcane Revive
+1 Arcane Revive | comparison=HEURISTIC_TEXT_ONLY</x:v>
      </x:c>
      <x:c r="M73" s="62" t="str">
        <x:v>Batch-review the exact-name identity and provenance fields; no game launch is expected.</x:v>
      </x:c>
      <x:c r="N73" s="62" t="str">
        <x:v>Pinned WFCD payload and current Gu row.</x:v>
      </x:c>
      <x:c r="O73" s="31" t="str">
        <x:v>NOT_STARTED</x:v>
      </x:c>
      <x:c r="P73" s="31" t="str"/>
      <x:c r="Q73" s="31" t="str">
        <x:v>Arcane Strike</x:v>
      </x:c>
      <x:c r="R73" s="31" t="str">
        <x:v>/Lotus/Upgrades/CosmeticEnhancers/Offensive/MeleeSpeedOnHit</x:v>
      </x:c>
      <x:c r="S73" s="62" t="str"/>
      <x:c r="T73" s="62" t="str"/>
      <x:c r="U73" s="31" t="str"/>
      <x:c r="V73" s="65"/>
      <x:c r="W73" s="31" t="str">
        <x:f>IF(AND(O73="COMPLETE",P73&lt;&gt;"",P73&lt;&gt;"DEFER"),"YES","NO")</x:f>
        <x:v>NO</x:v>
      </x:c>
      <x:c r="X73" s="31" t="str">
        <x:v>https://raw.githubusercontent.com/WFCD/warframe-items/f7c69c0786611df81214cabf588160d7af9cc80c/data/json/Arcanes.json</x:v>
      </x:c>
      <x:c r="Y73" s="31" t="str">
        <x:v>f40d0d19-c224-47f8-9ef2-c225f42e91d0</x:v>
      </x:c>
    </x:row>
    <x:row r="74">
      <x:c r="A74" s="31" t="str">
        <x:v>ARC-0067</x:v>
      </x:c>
      <x:c r="B74" s="31" t="str">
        <x:v>P2</x:v>
      </x:c>
      <x:c r="C74" s="31" t="str">
        <x:v>NO</x:v>
      </x:c>
      <x:c r="D74" s="31" t="str">
        <x:v>VALUE_MISMATCH</x:v>
      </x:c>
      <x:c r="E74" s="31" t="str">
        <x:v>EXACT_NORMALIZED_NAME</x:v>
      </x:c>
      <x:c r="F74" s="31" t="str">
        <x:v>81</x:v>
      </x:c>
      <x:c r="G74" s="31" t="str">
        <x:v>Arcane Tanker</x:v>
      </x:c>
      <x:c r="H74" s="31" t="str">
        <x:v>Arcane Tanker</x:v>
      </x:c>
      <x:c r="I74" s="31" t="str">
        <x:v>/Lotus/Upgrades/CosmeticEnhancers/Offensive/ArmorOnHeavyGunEquipped</x:v>
      </x:c>
      <x:c r="J74" s="31" t="str">
        <x:v>VALID</x:v>
      </x:c>
      <x:c r="K74" s="31" t="str">
        <x:v>unique_name, equipment_type, introduced_update, effect_text</x:v>
      </x:c>
      <x:c r="L74" s="62" t="str">
        <x:v>unique_name: Gu=∅ | WFCD=/Lotus/Upgrades/CosmeticEnhancers/Offensive/ArmorOnHeavyGunEquipped | reason=MISSING_OR_DIFFERENT_STABLE_ID
equipment_type: Gu=∅ | WFCD=Warframe Arcane | legacy_subcategory=Eidolon; reason=EQUIPMENT_COMPATIBILITY_IS_SEPARATE_FROM_LEGACY_SUBCATEGORY
introduced_update: Gu=22.14 | WFCD=Hotfix 25.7.6
effect_text: Gu=Warframe +300 Armor for 30s | WFCD=On Archgun Equipped:\n+1,200 Armor for 60s\n+1 Arcane Revive
+1 Arcane Revive | comparison=HEURISTIC_TEXT_ONLY</x:v>
      </x:c>
      <x:c r="M74" s="62" t="str">
        <x:v>Batch-review the exact-name identity and provenance fields; no game launch is expected.</x:v>
      </x:c>
      <x:c r="N74" s="62" t="str">
        <x:v>Pinned WFCD payload and current Gu row.</x:v>
      </x:c>
      <x:c r="O74" s="31" t="str">
        <x:v>NOT_STARTED</x:v>
      </x:c>
      <x:c r="P74" s="31" t="str"/>
      <x:c r="Q74" s="31" t="str">
        <x:v>Arcane Tanker</x:v>
      </x:c>
      <x:c r="R74" s="31" t="str">
        <x:v>/Lotus/Upgrades/CosmeticEnhancers/Offensive/ArmorOnHeavyGunEquipped</x:v>
      </x:c>
      <x:c r="S74" s="62" t="str"/>
      <x:c r="T74" s="62" t="str"/>
      <x:c r="U74" s="31" t="str"/>
      <x:c r="V74" s="65"/>
      <x:c r="W74" s="31" t="str">
        <x:f>IF(AND(O74="COMPLETE",P74&lt;&gt;"",P74&lt;&gt;"DEFER"),"YES","NO")</x:f>
        <x:v>NO</x:v>
      </x:c>
      <x:c r="X74" s="31" t="str">
        <x:v>https://raw.githubusercontent.com/WFCD/warframe-items/f7c69c0786611df81214cabf588160d7af9cc80c/data/json/Arcanes.json</x:v>
      </x:c>
      <x:c r="Y74" s="31" t="str">
        <x:v>f40d0d19-c224-47f8-9ef2-c225f42e91d0</x:v>
      </x:c>
    </x:row>
    <x:row r="75">
      <x:c r="A75" s="31" t="str">
        <x:v>ARC-0068</x:v>
      </x:c>
      <x:c r="B75" s="31" t="str">
        <x:v>P2</x:v>
      </x:c>
      <x:c r="C75" s="31" t="str">
        <x:v>NO</x:v>
      </x:c>
      <x:c r="D75" s="31" t="str">
        <x:v>VALUE_MISMATCH</x:v>
      </x:c>
      <x:c r="E75" s="31" t="str">
        <x:v>EXACT_NORMALIZED_NAME</x:v>
      </x:c>
      <x:c r="F75" s="31" t="str">
        <x:v>25</x:v>
      </x:c>
      <x:c r="G75" s="31" t="str">
        <x:v>Arcane Tempo</x:v>
      </x:c>
      <x:c r="H75" s="31" t="str">
        <x:v>Arcane Tempo</x:v>
      </x:c>
      <x:c r="I75" s="31" t="str">
        <x:v>/Lotus/Upgrades/CosmeticEnhancers/Offensive/GolemArcaneShotgunSpeedOnCrit</x:v>
      </x:c>
      <x:c r="J75" s="31" t="str">
        <x:v>VALID</x:v>
      </x:c>
      <x:c r="K75" s="31" t="str">
        <x:v>unique_name, equipment_type, introduced_update, effect_text</x:v>
      </x:c>
      <x:c r="L75" s="62" t="str">
        <x:v>unique_name: Gu=∅ | WFCD=/Lotus/Upgrades/CosmeticEnhancers/Offensive/GolemArcaneShotgunSpeedOnCrit | reason=MISSING_OR_DIFFERENT_STABLE_ID
equipment_type: Gu=∅ | WFCD=Warframe Arcane | legacy_subcategory=Eidolon; reason=EQUIPMENT_COMPATIBILITY_IS_SEPARATE_FROM_LEGACY_SUBCATEGORY
introduced_update: Gu=22.14 | WFCD=Update 17.9.1
effect_text: Gu=+60% Fire Rate for Primary Shotguns for 12s | WFCD=On Critical Hit:\n15% chance for +90% Fire Rate to Shotguns for 12s\n+1 Arcane Revive
+1 Arcane Revive | comparison=HEURISTIC_TEXT_ONLY</x:v>
      </x:c>
      <x:c r="M75" s="62" t="str">
        <x:v>Batch-review the exact-name identity and provenance fields; no game launch is expected.</x:v>
      </x:c>
      <x:c r="N75" s="62" t="str">
        <x:v>Pinned WFCD payload and current Gu row.</x:v>
      </x:c>
      <x:c r="O75" s="31" t="str">
        <x:v>NOT_STARTED</x:v>
      </x:c>
      <x:c r="P75" s="31" t="str"/>
      <x:c r="Q75" s="31" t="str">
        <x:v>Arcane Tempo</x:v>
      </x:c>
      <x:c r="R75" s="31" t="str">
        <x:v>/Lotus/Upgrades/CosmeticEnhancers/Offensive/GolemArcaneShotgunSpeedOnCrit</x:v>
      </x:c>
      <x:c r="S75" s="62" t="str"/>
      <x:c r="T75" s="62" t="str"/>
      <x:c r="U75" s="31" t="str"/>
      <x:c r="V75" s="65"/>
      <x:c r="W75" s="31" t="str">
        <x:f>IF(AND(O75="COMPLETE",P75&lt;&gt;"",P75&lt;&gt;"DEFER"),"YES","NO")</x:f>
        <x:v>NO</x:v>
      </x:c>
      <x:c r="X75" s="31" t="str">
        <x:v>https://raw.githubusercontent.com/WFCD/warframe-items/f7c69c0786611df81214cabf588160d7af9cc80c/data/json/Arcanes.json</x:v>
      </x:c>
      <x:c r="Y75" s="31" t="str">
        <x:v>f40d0d19-c224-47f8-9ef2-c225f42e91d0</x:v>
      </x:c>
    </x:row>
    <x:row r="76">
      <x:c r="A76" s="31" t="str">
        <x:v>ARC-0069</x:v>
      </x:c>
      <x:c r="B76" s="31" t="str">
        <x:v>P2</x:v>
      </x:c>
      <x:c r="C76" s="31" t="str">
        <x:v>NO</x:v>
      </x:c>
      <x:c r="D76" s="31" t="str">
        <x:v>VALUE_MISMATCH</x:v>
      </x:c>
      <x:c r="E76" s="31" t="str">
        <x:v>EXACT_NORMALIZED_NAME</x:v>
      </x:c>
      <x:c r="F76" s="31" t="str">
        <x:v>26</x:v>
      </x:c>
      <x:c r="G76" s="31" t="str">
        <x:v>Arcane Trickery</x:v>
      </x:c>
      <x:c r="H76" s="31" t="str">
        <x:v>Arcane Trickery</x:v>
      </x:c>
      <x:c r="I76" s="31" t="str">
        <x:v>/Lotus/Upgrades/CosmeticEnhancers/Offensive/InvisibilityOnFinisher</x:v>
      </x:c>
      <x:c r="J76" s="31" t="str">
        <x:v>VALID</x:v>
      </x:c>
      <x:c r="K76" s="31" t="str">
        <x:v>unique_name, equipment_type, introduced_update, effect_text</x:v>
      </x:c>
      <x:c r="L76" s="62" t="str">
        <x:v>unique_name: Gu=∅ | WFCD=/Lotus/Upgrades/CosmeticEnhancers/Offensive/InvisibilityOnFinisher | reason=MISSING_OR_DIFFERENT_STABLE_ID
equipment_type: Gu=∅ | WFCD=Warframe Arcane | legacy_subcategory=Eidolon; reason=EQUIPMENT_COMPATIBILITY_IS_SEPARATE_FROM_LEGACY_SUBCATEGORY
introduced_update: Gu=22.14 | WFCD=Update 16.0
effect_text: Gu=Chance to become invisible for 15s | WFCD=On Finisher Kill:\n15% chance to become invisible for 30s\n+1 Arcane Revive
+1 Arcane Revive | comparison=HEURISTIC_TEXT_ONLY</x:v>
      </x:c>
      <x:c r="M76" s="62" t="str">
        <x:v>Batch-review the exact-name identity and provenance fields; no game launch is expected.</x:v>
      </x:c>
      <x:c r="N76" s="62" t="str">
        <x:v>Pinned WFCD payload and current Gu row.</x:v>
      </x:c>
      <x:c r="O76" s="31" t="str">
        <x:v>NOT_STARTED</x:v>
      </x:c>
      <x:c r="P76" s="31" t="str"/>
      <x:c r="Q76" s="31" t="str">
        <x:v>Arcane Trickery</x:v>
      </x:c>
      <x:c r="R76" s="31" t="str">
        <x:v>/Lotus/Upgrades/CosmeticEnhancers/Offensive/InvisibilityOnFinisher</x:v>
      </x:c>
      <x:c r="S76" s="62" t="str"/>
      <x:c r="T76" s="62" t="str"/>
      <x:c r="U76" s="31" t="str"/>
      <x:c r="V76" s="65"/>
      <x:c r="W76" s="31" t="str">
        <x:f>IF(AND(O76="COMPLETE",P76&lt;&gt;"",P76&lt;&gt;"DEFER"),"YES","NO")</x:f>
        <x:v>NO</x:v>
      </x:c>
      <x:c r="X76" s="31" t="str">
        <x:v>https://raw.githubusercontent.com/WFCD/warframe-items/f7c69c0786611df81214cabf588160d7af9cc80c/data/json/Arcanes.json</x:v>
      </x:c>
      <x:c r="Y76" s="31" t="str">
        <x:v>f40d0d19-c224-47f8-9ef2-c225f42e91d0</x:v>
      </x:c>
    </x:row>
    <x:row r="77">
      <x:c r="A77" s="31" t="str">
        <x:v>ARC-0070</x:v>
      </x:c>
      <x:c r="B77" s="31" t="str">
        <x:v>P2</x:v>
      </x:c>
      <x:c r="C77" s="31" t="str">
        <x:v>NO</x:v>
      </x:c>
      <x:c r="D77" s="31" t="str">
        <x:v>VALUE_MISMATCH</x:v>
      </x:c>
      <x:c r="E77" s="31" t="str">
        <x:v>EXACT_NORMALIZED_NAME</x:v>
      </x:c>
      <x:c r="F77" s="31" t="str">
        <x:v>27</x:v>
      </x:c>
      <x:c r="G77" s="31" t="str">
        <x:v>Arcane Ultimatum</x:v>
      </x:c>
      <x:c r="H77" s="31" t="str">
        <x:v>Arcane Ultimatum</x:v>
      </x:c>
      <x:c r="I77" s="31" t="str">
        <x:v>/Lotus/Upgrades/CosmeticEnhancers/Offensive/GolemArcaneArmorOnFinisher</x:v>
      </x:c>
      <x:c r="J77" s="31" t="str">
        <x:v>VALID</x:v>
      </x:c>
      <x:c r="K77" s="31" t="str">
        <x:v>unique_name, equipment_type, introduced_update, effect_text</x:v>
      </x:c>
      <x:c r="L77" s="62" t="str">
        <x:v>unique_name: Gu=∅ | WFCD=/Lotus/Upgrades/CosmeticEnhancers/Offensive/GolemArcaneArmorOnFinisher | reason=MISSING_OR_DIFFERENT_STABLE_ID
equipment_type: Gu=∅ | WFCD=Warframe Arcane | legacy_subcategory=Eidolon; reason=EQUIPMENT_COMPATIBILITY_IS_SEPARATE_FROM_LEGACY_SUBCATEGORY
introduced_update: Gu=22.14 | WFCD=Update 17.9.1
effect_text: Gu=+900 Armor for 30s | WFCD=On Finisher Kill:\n+1,200 Armor for 45s\n+1 Arcane Revive
+1 Arcane Revive | comparison=HEURISTIC_TEXT_ONLY</x:v>
      </x:c>
      <x:c r="M77" s="62" t="str">
        <x:v>Batch-review the exact-name identity and provenance fields; no game launch is expected.</x:v>
      </x:c>
      <x:c r="N77" s="62" t="str">
        <x:v>Pinned WFCD payload and current Gu row.</x:v>
      </x:c>
      <x:c r="O77" s="31" t="str">
        <x:v>NOT_STARTED</x:v>
      </x:c>
      <x:c r="P77" s="31" t="str"/>
      <x:c r="Q77" s="31" t="str">
        <x:v>Arcane Ultimatum</x:v>
      </x:c>
      <x:c r="R77" s="31" t="str">
        <x:v>/Lotus/Upgrades/CosmeticEnhancers/Offensive/GolemArcaneArmorOnFinisher</x:v>
      </x:c>
      <x:c r="S77" s="62" t="str"/>
      <x:c r="T77" s="62" t="str"/>
      <x:c r="U77" s="31" t="str"/>
      <x:c r="V77" s="65"/>
      <x:c r="W77" s="31" t="str">
        <x:f>IF(AND(O77="COMPLETE",P77&lt;&gt;"",P77&lt;&gt;"DEFER"),"YES","NO")</x:f>
        <x:v>NO</x:v>
      </x:c>
      <x:c r="X77" s="31" t="str">
        <x:v>https://raw.githubusercontent.com/WFCD/warframe-items/f7c69c0786611df81214cabf588160d7af9cc80c/data/json/Arcanes.json</x:v>
      </x:c>
      <x:c r="Y77" s="31" t="str">
        <x:v>f40d0d19-c224-47f8-9ef2-c225f42e91d0</x:v>
      </x:c>
    </x:row>
    <x:row r="78">
      <x:c r="A78" s="31" t="str">
        <x:v>ARC-0071</x:v>
      </x:c>
      <x:c r="B78" s="31" t="str">
        <x:v>P2</x:v>
      </x:c>
      <x:c r="C78" s="31" t="str">
        <x:v>NO</x:v>
      </x:c>
      <x:c r="D78" s="31" t="str">
        <x:v>VALUE_MISMATCH</x:v>
      </x:c>
      <x:c r="E78" s="31" t="str">
        <x:v>EXACT_NORMALIZED_NAME</x:v>
      </x:c>
      <x:c r="F78" s="31" t="str">
        <x:v>419</x:v>
      </x:c>
      <x:c r="G78" s="31" t="str">
        <x:v>Arcane Universal Fallout</x:v>
      </x:c>
      <x:c r="H78" s="31" t="str">
        <x:v>Arcane Universal Fallout</x:v>
      </x:c>
      <x:c r="I78" s="31" t="str">
        <x:v>/Lotus/Upgrades/CosmeticEnhancers/Utility/AbilityRadiationProcsCreateUniversalOrbsOnKill</x:v>
      </x:c>
      <x:c r="J78" s="31" t="str">
        <x:v>VALID</x:v>
      </x:c>
      <x:c r="K78" s="31" t="str">
        <x:v>unique_name, equipment_type, introduced_update, effect_text</x:v>
      </x:c>
      <x:c r="L78" s="62" t="str">
        <x:v>unique_name: Gu=∅ | WFCD=/Lotus/Upgrades/CosmeticEnhancers/Utility/AbilityRadiationProcsCreateUniversalOrbsOnKill | reason=MISSING_OR_DIFFERENT_STABLE_ID
equipment_type: Gu=∅ | WFCD=Warframe Arcane | legacy_subcategory=; reason=EQUIPMENT_COMPATIBILITY_IS_SEPARATE_FROM_LEGACY_SUBCATEGORY
introduced_update: Gu=∅ | WFCD=Update 38.5
effect_text: Gu=∅ | WFCD=Each &lt;DT_RADIATION_COLOR&gt;Radiation Status Effect inflicted on enemies by Abilities gives a 6% chance to drop a Universal Orb on enemy death.\n+1 Arcane Revive
+1 Arcane Revive | comparison=HEURISTIC_TEXT_ONLY</x:v>
      </x:c>
      <x:c r="M78" s="62" t="str">
        <x:v>Batch-review the exact-name identity and provenance fields; no game launch is expected.</x:v>
      </x:c>
      <x:c r="N78" s="62" t="str">
        <x:v>Pinned WFCD payload and current Gu row.</x:v>
      </x:c>
      <x:c r="O78" s="31" t="str">
        <x:v>NOT_STARTED</x:v>
      </x:c>
      <x:c r="P78" s="31" t="str"/>
      <x:c r="Q78" s="31" t="str">
        <x:v>Arcane Universal Fallout</x:v>
      </x:c>
      <x:c r="R78" s="31" t="str">
        <x:v>/Lotus/Upgrades/CosmeticEnhancers/Utility/AbilityRadiationProcsCreateUniversalOrbsOnKill</x:v>
      </x:c>
      <x:c r="S78" s="62" t="str"/>
      <x:c r="T78" s="62" t="str"/>
      <x:c r="U78" s="31" t="str"/>
      <x:c r="V78" s="65"/>
      <x:c r="W78" s="31" t="str">
        <x:f>IF(AND(O78="COMPLETE",P78&lt;&gt;"",P78&lt;&gt;"DEFER"),"YES","NO")</x:f>
        <x:v>NO</x:v>
      </x:c>
      <x:c r="X78" s="31" t="str">
        <x:v>https://raw.githubusercontent.com/WFCD/warframe-items/f7c69c0786611df81214cabf588160d7af9cc80c/data/json/Arcanes.json</x:v>
      </x:c>
      <x:c r="Y78" s="31" t="str">
        <x:v>f40d0d19-c224-47f8-9ef2-c225f42e91d0</x:v>
      </x:c>
    </x:row>
    <x:row r="79">
      <x:c r="A79" s="31" t="str">
        <x:v>ARC-0072</x:v>
      </x:c>
      <x:c r="B79" s="31" t="str">
        <x:v>P2</x:v>
      </x:c>
      <x:c r="C79" s="31" t="str">
        <x:v>NO</x:v>
      </x:c>
      <x:c r="D79" s="31" t="str">
        <x:v>VALUE_MISMATCH</x:v>
      </x:c>
      <x:c r="E79" s="31" t="str">
        <x:v>EXACT_NORMALIZED_NAME</x:v>
      </x:c>
      <x:c r="F79" s="31" t="str">
        <x:v>28</x:v>
      </x:c>
      <x:c r="G79" s="31" t="str">
        <x:v>Arcane Velocity</x:v>
      </x:c>
      <x:c r="H79" s="31" t="str">
        <x:v>Arcane Velocity</x:v>
      </x:c>
      <x:c r="I79" s="31" t="str">
        <x:v>/Lotus/Upgrades/CosmeticEnhancers/Offensive/GolemArcanePistolSpeedOnCrit</x:v>
      </x:c>
      <x:c r="J79" s="31" t="str">
        <x:v>VALID</x:v>
      </x:c>
      <x:c r="K79" s="31" t="str">
        <x:v>unique_name, equipment_type, introduced_update, effect_text</x:v>
      </x:c>
      <x:c r="L79" s="62" t="str">
        <x:v>unique_name: Gu=∅ | WFCD=/Lotus/Upgrades/CosmeticEnhancers/Offensive/GolemArcanePistolSpeedOnCrit | reason=MISSING_OR_DIFFERENT_STABLE_ID
equipment_type: Gu=∅ | WFCD=Warframe Arcane | legacy_subcategory=Eidolon; reason=EQUIPMENT_COMPATIBILITY_IS_SEPARATE_FROM_LEGACY_SUBCATEGORY
introduced_update: Gu=22.14 | WFCD=Update 17.9.1
effect_text: Gu=+60% Fire Rate for Secondaries for 6s | WFCD=On Critical Hit:\n90% chance for +120% Fire Rate to Pistols for 9s\n+1 Arcane Revive
+1 Arcane Revive | comparison=HEURISTIC_TEXT_ONLY</x:v>
      </x:c>
      <x:c r="M79" s="62" t="str">
        <x:v>Batch-review the exact-name identity and provenance fields; no game launch is expected.</x:v>
      </x:c>
      <x:c r="N79" s="62" t="str">
        <x:v>Pinned WFCD payload and current Gu row.</x:v>
      </x:c>
      <x:c r="O79" s="31" t="str">
        <x:v>NOT_STARTED</x:v>
      </x:c>
      <x:c r="P79" s="31" t="str"/>
      <x:c r="Q79" s="31" t="str">
        <x:v>Arcane Velocity</x:v>
      </x:c>
      <x:c r="R79" s="31" t="str">
        <x:v>/Lotus/Upgrades/CosmeticEnhancers/Offensive/GolemArcanePistolSpeedOnCrit</x:v>
      </x:c>
      <x:c r="S79" s="62" t="str"/>
      <x:c r="T79" s="62" t="str"/>
      <x:c r="U79" s="31" t="str"/>
      <x:c r="V79" s="65"/>
      <x:c r="W79" s="31" t="str">
        <x:f>IF(AND(O79="COMPLETE",P79&lt;&gt;"",P79&lt;&gt;"DEFER"),"YES","NO")</x:f>
        <x:v>NO</x:v>
      </x:c>
      <x:c r="X79" s="31" t="str">
        <x:v>https://raw.githubusercontent.com/WFCD/warframe-items/f7c69c0786611df81214cabf588160d7af9cc80c/data/json/Arcanes.json</x:v>
      </x:c>
      <x:c r="Y79" s="31" t="str">
        <x:v>f40d0d19-c224-47f8-9ef2-c225f42e91d0</x:v>
      </x:c>
    </x:row>
    <x:row r="80">
      <x:c r="A80" s="31" t="str">
        <x:v>ARC-0073</x:v>
      </x:c>
      <x:c r="B80" s="31" t="str">
        <x:v>P2</x:v>
      </x:c>
      <x:c r="C80" s="31" t="str">
        <x:v>NO</x:v>
      </x:c>
      <x:c r="D80" s="31" t="str">
        <x:v>VALUE_MISMATCH</x:v>
      </x:c>
      <x:c r="E80" s="31" t="str">
        <x:v>EXACT_NORMALIZED_NAME</x:v>
      </x:c>
      <x:c r="F80" s="31" t="str">
        <x:v>29</x:v>
      </x:c>
      <x:c r="G80" s="31" t="str">
        <x:v>Arcane Victory</x:v>
      </x:c>
      <x:c r="H80" s="31" t="str">
        <x:v>Arcane Victory</x:v>
      </x:c>
      <x:c r="I80" s="31" t="str">
        <x:v>/Lotus/Upgrades/CosmeticEnhancers/Offensive/HealthRegenOnHeadshot</x:v>
      </x:c>
      <x:c r="J80" s="31" t="str">
        <x:v>VALID</x:v>
      </x:c>
      <x:c r="K80" s="31" t="str">
        <x:v>unique_name, equipment_type, introduced_update, tradable, effect_text</x:v>
      </x:c>
      <x:c r="L80" s="62" t="str">
        <x:v>unique_name: Gu=∅ | WFCD=/Lotus/Upgrades/CosmeticEnhancers/Offensive/HealthRegenOnHeadshot | reason=MISSING_OR_DIFFERENT_STABLE_ID
equipment_type: Gu=∅ | WFCD=Warframe Arcane | legacy_subcategory=; reason=EQUIPMENT_COMPATIBILITY_IS_SEPARATE_FROM_LEGACY_SUBCATEGORY
introduced_update: Gu=∅ | WFCD=Update 16.0
tradable: Gu=false | WFCD=true
effect_text: Gu=∅ | WFCD=On Headshot Kill:\n75% chance for +3% Health Regeneration/s for 9s\n+1 Arcane Revive
+1 Arcane Revive | comparison=HEURISTIC_TEXT_ONLY</x:v>
      </x:c>
      <x:c r="M80" s="62" t="str">
        <x:v>Batch-review the exact-name identity and provenance fields; no game launch is expected.</x:v>
      </x:c>
      <x:c r="N80" s="62" t="str">
        <x:v>Pinned WFCD payload and current Gu row.</x:v>
      </x:c>
      <x:c r="O80" s="31" t="str">
        <x:v>NOT_STARTED</x:v>
      </x:c>
      <x:c r="P80" s="31" t="str"/>
      <x:c r="Q80" s="31" t="str">
        <x:v>Arcane Victory</x:v>
      </x:c>
      <x:c r="R80" s="31" t="str">
        <x:v>/Lotus/Upgrades/CosmeticEnhancers/Offensive/HealthRegenOnHeadshot</x:v>
      </x:c>
      <x:c r="S80" s="62" t="str"/>
      <x:c r="T80" s="62" t="str"/>
      <x:c r="U80" s="31" t="str"/>
      <x:c r="V80" s="65"/>
      <x:c r="W80" s="31" t="str">
        <x:f>IF(AND(O80="COMPLETE",P80&lt;&gt;"",P80&lt;&gt;"DEFER"),"YES","NO")</x:f>
        <x:v>NO</x:v>
      </x:c>
      <x:c r="X80" s="31" t="str">
        <x:v>https://raw.githubusercontent.com/WFCD/warframe-items/f7c69c0786611df81214cabf588160d7af9cc80c/data/json/Arcanes.json</x:v>
      </x:c>
      <x:c r="Y80" s="31" t="str">
        <x:v>f40d0d19-c224-47f8-9ef2-c225f42e91d0</x:v>
      </x:c>
    </x:row>
    <x:row r="81">
      <x:c r="A81" s="31" t="str">
        <x:v>ARC-0074</x:v>
      </x:c>
      <x:c r="B81" s="31" t="str">
        <x:v>P2</x:v>
      </x:c>
      <x:c r="C81" s="31" t="str">
        <x:v>NO</x:v>
      </x:c>
      <x:c r="D81" s="31" t="str">
        <x:v>VALUE_MISMATCH</x:v>
      </x:c>
      <x:c r="E81" s="31" t="str">
        <x:v>EXACT_NORMALIZED_NAME</x:v>
      </x:c>
      <x:c r="F81" s="31" t="str">
        <x:v>30</x:v>
      </x:c>
      <x:c r="G81" s="31" t="str">
        <x:v>Arcane Warmth</x:v>
      </x:c>
      <x:c r="H81" s="31" t="str">
        <x:v>Arcane Warmth</x:v>
      </x:c>
      <x:c r="I81" s="31" t="str">
        <x:v>/Lotus/Upgrades/CosmeticEnhancers/Defensive/FreezeProcResist</x:v>
      </x:c>
      <x:c r="J81" s="31" t="str">
        <x:v>VALID</x:v>
      </x:c>
      <x:c r="K81" s="31" t="str">
        <x:v>unique_name, equipment_type, introduced_update, effect_text</x:v>
      </x:c>
      <x:c r="L81" s="62" t="str">
        <x:v>unique_name: Gu=∅ | WFCD=/Lotus/Upgrades/CosmeticEnhancers/Defensive/FreezeProcResist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Cold Status proc | WFCD=+102% chance to resist a &lt;DT_FREEZE_COLOR&gt;Cold Status effect.
+1 Arcane Revive | comparison=HEURISTIC_TEXT_ONLY</x:v>
      </x:c>
      <x:c r="M81" s="62" t="str">
        <x:v>Batch-review the exact-name identity and provenance fields; no game launch is expected.</x:v>
      </x:c>
      <x:c r="N81" s="62" t="str">
        <x:v>Pinned WFCD payload and current Gu row.</x:v>
      </x:c>
      <x:c r="O81" s="31" t="str">
        <x:v>NOT_STARTED</x:v>
      </x:c>
      <x:c r="P81" s="31" t="str"/>
      <x:c r="Q81" s="31" t="str">
        <x:v>Arcane Warmth</x:v>
      </x:c>
      <x:c r="R81" s="31" t="str">
        <x:v>/Lotus/Upgrades/CosmeticEnhancers/Defensive/FreezeProcResist</x:v>
      </x:c>
      <x:c r="S81" s="62" t="str"/>
      <x:c r="T81" s="62" t="str"/>
      <x:c r="U81" s="31" t="str"/>
      <x:c r="V81" s="65"/>
      <x:c r="W81" s="31" t="str">
        <x:f>IF(AND(O81="COMPLETE",P81&lt;&gt;"",P81&lt;&gt;"DEFER"),"YES","NO")</x:f>
        <x:v>NO</x:v>
      </x:c>
      <x:c r="X81" s="31" t="str">
        <x:v>https://raw.githubusercontent.com/WFCD/warframe-items/f7c69c0786611df81214cabf588160d7af9cc80c/data/json/Arcanes.json</x:v>
      </x:c>
      <x:c r="Y81" s="31" t="str">
        <x:v>f40d0d19-c224-47f8-9ef2-c225f42e91d0</x:v>
      </x:c>
    </x:row>
    <x:row r="82">
      <x:c r="A82" s="31" t="str">
        <x:v>ARC-0075</x:v>
      </x:c>
      <x:c r="B82" s="31" t="str">
        <x:v>P2</x:v>
      </x:c>
      <x:c r="C82" s="31" t="str">
        <x:v>NO</x:v>
      </x:c>
      <x:c r="D82" s="31" t="str">
        <x:v>VALUE_MISMATCH</x:v>
      </x:c>
      <x:c r="E82" s="31" t="str">
        <x:v>EXACT_NORMALIZED_NAME</x:v>
      </x:c>
      <x:c r="F82" s="31" t="str">
        <x:v>181</x:v>
      </x:c>
      <x:c r="G82" s="31" t="str">
        <x:v>Cascadia Accuracy</x:v>
      </x:c>
      <x:c r="H82" s="31" t="str">
        <x:v>Cascadia Accuracy</x:v>
      </x:c>
      <x:c r="I82" s="31" t="str">
        <x:v>/Lotus/Upgrades/CosmeticEnhancers/Zariman/SecondaryOnRollCritChanceOnHeadshot</x:v>
      </x:c>
      <x:c r="J82" s="31" t="str">
        <x:v>VALID</x:v>
      </x:c>
      <x:c r="K82" s="31" t="str">
        <x:v>unique_name, equipment_type, introduced_update, effect_text</x:v>
      </x:c>
      <x:c r="L82" s="62" t="str">
        <x:v>unique_name: Gu=∅ | WFCD=/Lotus/Upgrades/CosmeticEnhancers/Zariman/SecondaryOnRollCritChanceOnHeadshot | reason=MISSING_OR_DIFFERENT_STABLE_ID
equipment_type: Gu=∅ | WFCD=Secondary Arcane | legacy_subcategory=Cascadia; reason=EQUIPMENT_COMPATIBILITY_IS_SEPARATE_FROM_LEGACY_SUBCATEGORY
introduced_update: Gu=31.5 | WFCD=Update 31.5
effect_text: Gu=+60% Secondary Status Chance for 12s | WFCD=On Roll:\n+300% Critical Chance on Weakpoint Hits for 4s | comparison=HEURISTIC_TEXT_ONLY</x:v>
      </x:c>
      <x:c r="M82" s="62" t="str">
        <x:v>Batch-review the exact-name identity and provenance fields; no game launch is expected.</x:v>
      </x:c>
      <x:c r="N82" s="62" t="str">
        <x:v>Pinned WFCD payload and current Gu row.</x:v>
      </x:c>
      <x:c r="O82" s="31" t="str">
        <x:v>NOT_STARTED</x:v>
      </x:c>
      <x:c r="P82" s="31" t="str"/>
      <x:c r="Q82" s="31" t="str">
        <x:v>Cascadia Accuracy</x:v>
      </x:c>
      <x:c r="R82" s="31" t="str">
        <x:v>/Lotus/Upgrades/CosmeticEnhancers/Zariman/SecondaryOnRollCritChanceOnHeadshot</x:v>
      </x:c>
      <x:c r="S82" s="62" t="str"/>
      <x:c r="T82" s="62" t="str"/>
      <x:c r="U82" s="31" t="str"/>
      <x:c r="V82" s="65"/>
      <x:c r="W82" s="31" t="str">
        <x:f>IF(AND(O82="COMPLETE",P82&lt;&gt;"",P82&lt;&gt;"DEFER"),"YES","NO")</x:f>
        <x:v>NO</x:v>
      </x:c>
      <x:c r="X82" s="31" t="str">
        <x:v>https://raw.githubusercontent.com/WFCD/warframe-items/f7c69c0786611df81214cabf588160d7af9cc80c/data/json/Arcanes.json</x:v>
      </x:c>
      <x:c r="Y82" s="31" t="str">
        <x:v>f40d0d19-c224-47f8-9ef2-c225f42e91d0</x:v>
      </x:c>
    </x:row>
    <x:row r="83">
      <x:c r="A83" s="31" t="str">
        <x:v>ARC-0076</x:v>
      </x:c>
      <x:c r="B83" s="31" t="str">
        <x:v>P2</x:v>
      </x:c>
      <x:c r="C83" s="31" t="str">
        <x:v>NO</x:v>
      </x:c>
      <x:c r="D83" s="31" t="str">
        <x:v>VALUE_MISMATCH</x:v>
      </x:c>
      <x:c r="E83" s="31" t="str">
        <x:v>EXACT_NORMALIZED_NAME</x:v>
      </x:c>
      <x:c r="F83" s="31" t="str">
        <x:v>184</x:v>
      </x:c>
      <x:c r="G83" s="31" t="str">
        <x:v>Cascadia Empowered</x:v>
      </x:c>
      <x:c r="H83" s="31" t="str">
        <x:v>Cascadia Empowered</x:v>
      </x:c>
      <x:c r="I83" s="31" t="str">
        <x:v>/Lotus/Upgrades/CosmeticEnhancers/Zariman/SecondaryOnStatusProcBonusDamage</x:v>
      </x:c>
      <x:c r="J83" s="31" t="str">
        <x:v>VALID</x:v>
      </x:c>
      <x:c r="K83" s="31" t="str">
        <x:v>unique_name, equipment_type, introduced_update, effect_text</x:v>
      </x:c>
      <x:c r="L83" s="62" t="str">
        <x:v>unique_name: Gu=∅ | WFCD=/Lotus/Upgrades/CosmeticEnhancers/Zariman/SecondaryOnStatusProcBonusDamage | reason=MISSING_OR_DIFFERENT_STABLE_ID
equipment_type: Gu=∅ | WFCD=Secondary Arcane | legacy_subcategory=Cascadia; reason=EQUIPMENT_COMPATIBILITY_IS_SEPARATE_FROM_LEGACY_SUBCATEGORY
introduced_update: Gu=31.5 | WFCD=Update 31.5
effect_text: Gu=+150% Secondary Damage for 20s after Overguard kill | WFCD=On Status Effect:\nDeals +750 Damage matching the Damage Type of the Status Effect | comparison=HEURISTIC_TEXT_ONLY</x:v>
      </x:c>
      <x:c r="M83" s="62" t="str">
        <x:v>Batch-review the exact-name identity and provenance fields; no game launch is expected.</x:v>
      </x:c>
      <x:c r="N83" s="62" t="str">
        <x:v>Pinned WFCD payload and current Gu row.</x:v>
      </x:c>
      <x:c r="O83" s="31" t="str">
        <x:v>NOT_STARTED</x:v>
      </x:c>
      <x:c r="P83" s="31" t="str"/>
      <x:c r="Q83" s="31" t="str">
        <x:v>Cascadia Empowered</x:v>
      </x:c>
      <x:c r="R83" s="31" t="str">
        <x:v>/Lotus/Upgrades/CosmeticEnhancers/Zariman/SecondaryOnStatusProcBonusDamage</x:v>
      </x:c>
      <x:c r="S83" s="62" t="str"/>
      <x:c r="T83" s="62" t="str"/>
      <x:c r="U83" s="31" t="str"/>
      <x:c r="V83" s="65"/>
      <x:c r="W83" s="31" t="str">
        <x:f>IF(AND(O83="COMPLETE",P83&lt;&gt;"",P83&lt;&gt;"DEFER"),"YES","NO")</x:f>
        <x:v>NO</x:v>
      </x:c>
      <x:c r="X83" s="31" t="str">
        <x:v>https://raw.githubusercontent.com/WFCD/warframe-items/f7c69c0786611df81214cabf588160d7af9cc80c/data/json/Arcanes.json</x:v>
      </x:c>
      <x:c r="Y83" s="31" t="str">
        <x:v>f40d0d19-c224-47f8-9ef2-c225f42e91d0</x:v>
      </x:c>
    </x:row>
    <x:row r="84">
      <x:c r="A84" s="31" t="str">
        <x:v>ARC-0077</x:v>
      </x:c>
      <x:c r="B84" s="31" t="str">
        <x:v>P2</x:v>
      </x:c>
      <x:c r="C84" s="31" t="str">
        <x:v>NO</x:v>
      </x:c>
      <x:c r="D84" s="31" t="str">
        <x:v>VALUE_MISMATCH</x:v>
      </x:c>
      <x:c r="E84" s="31" t="str">
        <x:v>EXACT_NORMALIZED_NAME</x:v>
      </x:c>
      <x:c r="F84" s="31" t="str">
        <x:v>182</x:v>
      </x:c>
      <x:c r="G84" s="31" t="str">
        <x:v>Cascadia Flare</x:v>
      </x:c>
      <x:c r="H84" s="31" t="str">
        <x:v>Cascadia Flare</x:v>
      </x:c>
      <x:c r="I84" s="31" t="str">
        <x:v>/Lotus/Upgrades/CosmeticEnhancers/Offensive/SecondaryDamageOnHeatProc</x:v>
      </x:c>
      <x:c r="J84" s="31" t="str">
        <x:v>VALID</x:v>
      </x:c>
      <x:c r="K84" s="31" t="str">
        <x:v>unique_name, equipment_type, introduced_update, effect_text</x:v>
      </x:c>
      <x:c r="L84" s="62" t="str">
        <x:v>unique_name: Gu=∅ | WFCD=/Lotus/Upgrades/CosmeticEnhancers/Offensive/SecondaryDamageOnHeatProc | reason=MISSING_OR_DIFFERENT_STABLE_ID
equipment_type: Gu=∅ | WFCD=Secondary Arcane | legacy_subcategory=Cascadia; reason=EQUIPMENT_COMPATIBILITY_IS_SEPARATE_FROM_LEGACY_SUBCATEGORY
introduced_update: Gu=31.5 | WFCD=Update 31.6
effect_text: Gu=+60% Secondary Heat Damage for 12s | WFCD=On &lt;DT_FIRE_COLOR&gt;Heat Status Effect:\n+12% Damage for 10s. Stacks up to 480%. | comparison=HEURISTIC_TEXT_ONLY</x:v>
      </x:c>
      <x:c r="M84" s="62" t="str">
        <x:v>Batch-review the exact-name identity and provenance fields; no game launch is expected.</x:v>
      </x:c>
      <x:c r="N84" s="62" t="str">
        <x:v>Pinned WFCD payload and current Gu row.</x:v>
      </x:c>
      <x:c r="O84" s="31" t="str">
        <x:v>NOT_STARTED</x:v>
      </x:c>
      <x:c r="P84" s="31" t="str"/>
      <x:c r="Q84" s="31" t="str">
        <x:v>Cascadia Flare</x:v>
      </x:c>
      <x:c r="R84" s="31" t="str">
        <x:v>/Lotus/Upgrades/CosmeticEnhancers/Offensive/SecondaryDamageOnHeatProc</x:v>
      </x:c>
      <x:c r="S84" s="62" t="str"/>
      <x:c r="T84" s="62" t="str"/>
      <x:c r="U84" s="31" t="str"/>
      <x:c r="V84" s="65"/>
      <x:c r="W84" s="31" t="str">
        <x:f>IF(AND(O84="COMPLETE",P84&lt;&gt;"",P84&lt;&gt;"DEFER"),"YES","NO")</x:f>
        <x:v>NO</x:v>
      </x:c>
      <x:c r="X84" s="31" t="str">
        <x:v>https://raw.githubusercontent.com/WFCD/warframe-items/f7c69c0786611df81214cabf588160d7af9cc80c/data/json/Arcanes.json</x:v>
      </x:c>
      <x:c r="Y84" s="31" t="str">
        <x:v>f40d0d19-c224-47f8-9ef2-c225f42e91d0</x:v>
      </x:c>
    </x:row>
    <x:row r="85">
      <x:c r="A85" s="31" t="str">
        <x:v>ARC-0078</x:v>
      </x:c>
      <x:c r="B85" s="31" t="str">
        <x:v>P2</x:v>
      </x:c>
      <x:c r="C85" s="31" t="str">
        <x:v>NO</x:v>
      </x:c>
      <x:c r="D85" s="31" t="str">
        <x:v>VALUE_MISMATCH</x:v>
      </x:c>
      <x:c r="E85" s="31" t="str">
        <x:v>EXACT_NORMALIZED_NAME</x:v>
      </x:c>
      <x:c r="F85" s="31" t="str">
        <x:v>183</x:v>
      </x:c>
      <x:c r="G85" s="31" t="str">
        <x:v>Cascadia Overcharge</x:v>
      </x:c>
      <x:c r="H85" s="31" t="str">
        <x:v>Cascadia Overcharge</x:v>
      </x:c>
      <x:c r="I85" s="31" t="str">
        <x:v>/Lotus/Upgrades/CosmeticEnhancers/Zariman/SecondaryOnOvershieldCritChance</x:v>
      </x:c>
      <x:c r="J85" s="31" t="str">
        <x:v>VALID</x:v>
      </x:c>
      <x:c r="K85" s="31" t="str">
        <x:v>unique_name, equipment_type, introduced_update, effect_text</x:v>
      </x:c>
      <x:c r="L85" s="62" t="str">
        <x:v>unique_name: Gu=∅ | WFCD=/Lotus/Upgrades/CosmeticEnhancers/Zariman/SecondaryOnOvershieldCritChance | reason=MISSING_OR_DIFFERENT_STABLE_ID
equipment_type: Gu=∅ | WFCD=Secondary Arcane | legacy_subcategory=Cascadia; reason=EQUIPMENT_COMPATIBILITY_IS_SEPARATE_FROM_LEGACY_SUBCATEGORY
introduced_update: Gu=31.5 | WFCD=Update 31.5
effect_text: Gu=+120% Secondary Damage while Overshields are active | WFCD=While Overshields Active: +300% Critical Chance | comparison=HEURISTIC_TEXT_ONLY</x:v>
      </x:c>
      <x:c r="M85" s="62" t="str">
        <x:v>Batch-review the exact-name identity and provenance fields; no game launch is expected.</x:v>
      </x:c>
      <x:c r="N85" s="62" t="str">
        <x:v>Pinned WFCD payload and current Gu row.</x:v>
      </x:c>
      <x:c r="O85" s="31" t="str">
        <x:v>NOT_STARTED</x:v>
      </x:c>
      <x:c r="P85" s="31" t="str"/>
      <x:c r="Q85" s="31" t="str">
        <x:v>Cascadia Overcharge</x:v>
      </x:c>
      <x:c r="R85" s="31" t="str">
        <x:v>/Lotus/Upgrades/CosmeticEnhancers/Zariman/SecondaryOnOvershieldCritChance</x:v>
      </x:c>
      <x:c r="S85" s="62" t="str"/>
      <x:c r="T85" s="62" t="str"/>
      <x:c r="U85" s="31" t="str"/>
      <x:c r="V85" s="65"/>
      <x:c r="W85" s="31" t="str">
        <x:f>IF(AND(O85="COMPLETE",P85&lt;&gt;"",P85&lt;&gt;"DEFER"),"YES","NO")</x:f>
        <x:v>NO</x:v>
      </x:c>
      <x:c r="X85" s="31" t="str">
        <x:v>https://raw.githubusercontent.com/WFCD/warframe-items/f7c69c0786611df81214cabf588160d7af9cc80c/data/json/Arcanes.json</x:v>
      </x:c>
      <x:c r="Y85" s="31" t="str">
        <x:v>f40d0d19-c224-47f8-9ef2-c225f42e91d0</x:v>
      </x:c>
    </x:row>
    <x:row r="86">
      <x:c r="A86" s="31" t="str">
        <x:v>ARC-0079</x:v>
      </x:c>
      <x:c r="B86" s="31" t="str">
        <x:v>P2</x:v>
      </x:c>
      <x:c r="C86" s="31" t="str">
        <x:v>NO</x:v>
      </x:c>
      <x:c r="D86" s="31" t="str">
        <x:v>VALUE_MISMATCH</x:v>
      </x:c>
      <x:c r="E86" s="31" t="str">
        <x:v>EXACT_NORMALIZED_NAME</x:v>
      </x:c>
      <x:c r="F86" s="31" t="str">
        <x:v>185</x:v>
      </x:c>
      <x:c r="G86" s="31" t="str">
        <x:v>Conjunction Voltage</x:v>
      </x:c>
      <x:c r="H86" s="31" t="str">
        <x:v>Conjunction Voltage</x:v>
      </x:c>
      <x:c r="I86" s="31" t="str">
        <x:v>/Lotus/Upgrades/CosmeticEnhancers/Offensive/SecondaryReloadSpeedAndMultishotOnElectricProc</x:v>
      </x:c>
      <x:c r="J86" s="31" t="str">
        <x:v>VALID</x:v>
      </x:c>
      <x:c r="K86" s="31" t="str">
        <x:v>unique_name, equipment_type, introduced_update, effect_text</x:v>
      </x:c>
      <x:c r="L86" s="62" t="str">
        <x:v>unique_name: Gu=∅ | WFCD=/Lotus/Upgrades/CosmeticEnhancers/Offensive/SecondaryReloadSpeedAndMultishotOnElectricProc | reason=MISSING_OR_DIFFERENT_STABLE_ID
equipment_type: Gu=∅ | WFCD=Secondary Arcane | legacy_subcategory=Conjunction; reason=EQUIPMENT_COMPATIBILITY_IS_SEPARATE_FROM_LEGACY_SUBCATEGORY
introduced_update: Gu=32.2 | WFCD=Update 32.2
effect_text: Gu=Chaining Secondary kills grants escalating Electricity bonus | WFCD=On &lt;DT_ELECTRICITY_COLOR&gt;Electricity Status Effect:\n+1.5% Reload Speed and +3% Multishot for 12s. Stacks up to 40x. | comparison=HEURISTIC_TEXT_ONLY</x:v>
      </x:c>
      <x:c r="M86" s="62" t="str">
        <x:v>Batch-review the exact-name identity and provenance fields; no game launch is expected.</x:v>
      </x:c>
      <x:c r="N86" s="62" t="str">
        <x:v>Pinned WFCD payload and current Gu row.</x:v>
      </x:c>
      <x:c r="O86" s="31" t="str">
        <x:v>NOT_STARTED</x:v>
      </x:c>
      <x:c r="P86" s="31" t="str"/>
      <x:c r="Q86" s="31" t="str">
        <x:v>Conjunction Voltage</x:v>
      </x:c>
      <x:c r="R86" s="31" t="str">
        <x:v>/Lotus/Upgrades/CosmeticEnhancers/Offensive/SecondaryReloadSpeedAndMultishotOnElectricProc</x:v>
      </x:c>
      <x:c r="S86" s="62" t="str"/>
      <x:c r="T86" s="62" t="str"/>
      <x:c r="U86" s="31" t="str"/>
      <x:c r="V86" s="65"/>
      <x:c r="W86" s="31" t="str">
        <x:f>IF(AND(O86="COMPLETE",P86&lt;&gt;"",P86&lt;&gt;"DEFER"),"YES","NO")</x:f>
        <x:v>NO</x:v>
      </x:c>
      <x:c r="X86" s="31" t="str">
        <x:v>https://raw.githubusercontent.com/WFCD/warframe-items/f7c69c0786611df81214cabf588160d7af9cc80c/data/json/Arcanes.json</x:v>
      </x:c>
      <x:c r="Y86" s="31" t="str">
        <x:v>f40d0d19-c224-47f8-9ef2-c225f42e91d0</x:v>
      </x:c>
    </x:row>
    <x:row r="87">
      <x:c r="A87" s="31" t="str">
        <x:v>ARC-0080</x:v>
      </x:c>
      <x:c r="B87" s="31" t="str">
        <x:v>P2</x:v>
      </x:c>
      <x:c r="C87" s="31" t="str">
        <x:v>NO</x:v>
      </x:c>
      <x:c r="D87" s="31" t="str">
        <x:v>VALUE_MISMATCH</x:v>
      </x:c>
      <x:c r="E87" s="31" t="str">
        <x:v>EXACT_NORMALIZED_NAME</x:v>
      </x:c>
      <x:c r="F87" s="31" t="str">
        <x:v>403</x:v>
      </x:c>
      <x:c r="G87" s="31" t="str">
        <x:v>Emergence Dissipate</x:v>
      </x:c>
      <x:c r="H87" s="31" t="str">
        <x:v>Emergence Dissipate</x:v>
      </x:c>
      <x:c r="I87" s="31" t="str">
        <x:v>/Lotus/Upgrades/CosmeticEnhancers/Zariman/EnergyOnGhostDissipate</x:v>
      </x:c>
      <x:c r="J87" s="31" t="str">
        <x:v>VALID</x:v>
      </x:c>
      <x:c r="K87" s="31" t="str">
        <x:v>unique_name, equipment_type, introduced_update, effect_text</x:v>
      </x:c>
      <x:c r="L87" s="62" t="str">
        <x:v>unique_name: Gu=∅ | WFCD=/Lotus/Upgrades/CosmeticEnhancers/Zariman/EnergyOnGhostDissipate | reason=MISSING_OR_DIFFERENT_STABLE_ID
equipment_type: Gu=∅ | WFCD=Operator Arcane | legacy_subcategory=; reason=EQUIPMENT_COMPATIBILITY_IS_SEPARATE_FROM_LEGACY_SUBCATEGORY
introduced_update: Gu=∅ | WFCD=Update 31.5
effect_text: Gu=∅ | WFCD=WHILE IN VOID SLING: Press &lt;PRE_ATTACK&gt; to dissipate the endpoint in a 10m radius. Enemies hit create a short lived Void Mote that replenishes 10 Energy on pick up. | comparison=HEURISTIC_TEXT_ONLY</x:v>
      </x:c>
      <x:c r="M87" s="62" t="str">
        <x:v>Batch-review the exact-name identity and provenance fields; no game launch is expected.</x:v>
      </x:c>
      <x:c r="N87" s="62" t="str">
        <x:v>Pinned WFCD payload and current Gu row.</x:v>
      </x:c>
      <x:c r="O87" s="31" t="str">
        <x:v>NOT_STARTED</x:v>
      </x:c>
      <x:c r="P87" s="31" t="str"/>
      <x:c r="Q87" s="31" t="str">
        <x:v>Emergence Dissipate</x:v>
      </x:c>
      <x:c r="R87" s="31" t="str">
        <x:v>/Lotus/Upgrades/CosmeticEnhancers/Zariman/EnergyOnGhostDissipate</x:v>
      </x:c>
      <x:c r="S87" s="62" t="str"/>
      <x:c r="T87" s="62" t="str"/>
      <x:c r="U87" s="31" t="str"/>
      <x:c r="V87" s="65"/>
      <x:c r="W87" s="31" t="str">
        <x:f>IF(AND(O87="COMPLETE",P87&lt;&gt;"",P87&lt;&gt;"DEFER"),"YES","NO")</x:f>
        <x:v>NO</x:v>
      </x:c>
      <x:c r="X87" s="31" t="str">
        <x:v>https://raw.githubusercontent.com/WFCD/warframe-items/f7c69c0786611df81214cabf588160d7af9cc80c/data/json/Arcanes.json</x:v>
      </x:c>
      <x:c r="Y87" s="31" t="str">
        <x:v>f40d0d19-c224-47f8-9ef2-c225f42e91d0</x:v>
      </x:c>
    </x:row>
    <x:row r="88">
      <x:c r="A88" s="31" t="str">
        <x:v>ARC-0081</x:v>
      </x:c>
      <x:c r="B88" s="31" t="str">
        <x:v>P2</x:v>
      </x:c>
      <x:c r="C88" s="31" t="str">
        <x:v>NO</x:v>
      </x:c>
      <x:c r="D88" s="31" t="str">
        <x:v>VALUE_MISMATCH</x:v>
      </x:c>
      <x:c r="E88" s="31" t="str">
        <x:v>EXACT_NORMALIZED_NAME</x:v>
      </x:c>
      <x:c r="F88" s="31" t="str">
        <x:v>404</x:v>
      </x:c>
      <x:c r="G88" s="31" t="str">
        <x:v>Emergence Renewed</x:v>
      </x:c>
      <x:c r="H88" s="31" t="str">
        <x:v>Emergence Renewed</x:v>
      </x:c>
      <x:c r="I88" s="31" t="str">
        <x:v>/Lotus/Upgrades/CosmeticEnhancers/Zariman/OperatorOnEnergyDepletedRegenEnergy</x:v>
      </x:c>
      <x:c r="J88" s="31" t="str">
        <x:v>VALID</x:v>
      </x:c>
      <x:c r="K88" s="31" t="str">
        <x:v>unique_name, equipment_type, introduced_update, effect_text</x:v>
      </x:c>
      <x:c r="L88" s="62" t="str">
        <x:v>unique_name: Gu=∅ | WFCD=/Lotus/Upgrades/CosmeticEnhancers/Zariman/OperatorOnEnergyDepletedRegenEnergy | reason=MISSING_OR_DIFFERENT_STABLE_ID
equipment_type: Gu=∅ | WFCD=Operator Arcane | legacy_subcategory=; reason=EQUIPMENT_COMPATIBILITY_IS_SEPARATE_FROM_LEGACY_SUBCATEGORY
introduced_update: Gu=∅ | WFCD=Update 31.5
effect_text: Gu=∅ | WFCD=On Energy Depleted:\nIncrease Energy Regeneration by 300% over 5s. Cooldown: 30s | comparison=HEURISTIC_TEXT_ONLY</x:v>
      </x:c>
      <x:c r="M88" s="62" t="str">
        <x:v>Batch-review the exact-name identity and provenance fields; no game launch is expected.</x:v>
      </x:c>
      <x:c r="N88" s="62" t="str">
        <x:v>Pinned WFCD payload and current Gu row.</x:v>
      </x:c>
      <x:c r="O88" s="31" t="str">
        <x:v>NOT_STARTED</x:v>
      </x:c>
      <x:c r="P88" s="31" t="str"/>
      <x:c r="Q88" s="31" t="str">
        <x:v>Emergence Renewed</x:v>
      </x:c>
      <x:c r="R88" s="31" t="str">
        <x:v>/Lotus/Upgrades/CosmeticEnhancers/Zariman/OperatorOnEnergyDepletedRegenEnergy</x:v>
      </x:c>
      <x:c r="S88" s="62" t="str"/>
      <x:c r="T88" s="62" t="str"/>
      <x:c r="U88" s="31" t="str"/>
      <x:c r="V88" s="65"/>
      <x:c r="W88" s="31" t="str">
        <x:f>IF(AND(O88="COMPLETE",P88&lt;&gt;"",P88&lt;&gt;"DEFER"),"YES","NO")</x:f>
        <x:v>NO</x:v>
      </x:c>
      <x:c r="X88" s="31" t="str">
        <x:v>https://raw.githubusercontent.com/WFCD/warframe-items/f7c69c0786611df81214cabf588160d7af9cc80c/data/json/Arcanes.json</x:v>
      </x:c>
      <x:c r="Y88" s="31" t="str">
        <x:v>f40d0d19-c224-47f8-9ef2-c225f42e91d0</x:v>
      </x:c>
    </x:row>
    <x:row r="89">
      <x:c r="A89" s="31" t="str">
        <x:v>ARC-0082</x:v>
      </x:c>
      <x:c r="B89" s="31" t="str">
        <x:v>P2</x:v>
      </x:c>
      <x:c r="C89" s="31" t="str">
        <x:v>NO</x:v>
      </x:c>
      <x:c r="D89" s="31" t="str">
        <x:v>VALUE_MISMATCH</x:v>
      </x:c>
      <x:c r="E89" s="31" t="str">
        <x:v>EXACT_NORMALIZED_NAME</x:v>
      </x:c>
      <x:c r="F89" s="31" t="str">
        <x:v>405</x:v>
      </x:c>
      <x:c r="G89" s="31" t="str">
        <x:v>Emergence Savior</x:v>
      </x:c>
      <x:c r="H89" s="31" t="str">
        <x:v>Emergence Savior</x:v>
      </x:c>
      <x:c r="I89" s="31" t="str">
        <x:v>/Lotus/Upgrades/CosmeticEnhancers/Zariman/OperatorOnDeathInvulnerability</x:v>
      </x:c>
      <x:c r="J89" s="31" t="str">
        <x:v>VALID</x:v>
      </x:c>
      <x:c r="K89" s="31" t="str">
        <x:v>unique_name, equipment_type, introduced_update, effect_text</x:v>
      </x:c>
      <x:c r="L89" s="62" t="str">
        <x:v>unique_name: Gu=∅ | WFCD=/Lotus/Upgrades/CosmeticEnhancers/Zariman/OperatorOnDeathInvulnerability | reason=MISSING_OR_DIFFERENT_STABLE_ID
equipment_type: Gu=∅ | WFCD=Operator Arcane | legacy_subcategory=; reason=EQUIPMENT_COMPATIBILITY_IS_SEPARATE_FROM_LEGACY_SUBCATEGORY
introduced_update: Gu=∅ | WFCD=Update 31.5
effect_text: Gu=∅ | WFCD=On Lethal Damage:\nBecome invulnerable for 5s and recover 60% Health. Cooldown: 90s | comparison=HEURISTIC_TEXT_ONLY</x:v>
      </x:c>
      <x:c r="M89" s="62" t="str">
        <x:v>Batch-review the exact-name identity and provenance fields; no game launch is expected.</x:v>
      </x:c>
      <x:c r="N89" s="62" t="str">
        <x:v>Pinned WFCD payload and current Gu row.</x:v>
      </x:c>
      <x:c r="O89" s="31" t="str">
        <x:v>NOT_STARTED</x:v>
      </x:c>
      <x:c r="P89" s="31" t="str"/>
      <x:c r="Q89" s="31" t="str">
        <x:v>Emergence Savior</x:v>
      </x:c>
      <x:c r="R89" s="31" t="str">
        <x:v>/Lotus/Upgrades/CosmeticEnhancers/Zariman/OperatorOnDeathInvulnerability</x:v>
      </x:c>
      <x:c r="S89" s="62" t="str"/>
      <x:c r="T89" s="62" t="str"/>
      <x:c r="U89" s="31" t="str"/>
      <x:c r="V89" s="65"/>
      <x:c r="W89" s="31" t="str">
        <x:f>IF(AND(O89="COMPLETE",P89&lt;&gt;"",P89&lt;&gt;"DEFER"),"YES","NO")</x:f>
        <x:v>NO</x:v>
      </x:c>
      <x:c r="X89" s="31" t="str">
        <x:v>https://raw.githubusercontent.com/WFCD/warframe-items/f7c69c0786611df81214cabf588160d7af9cc80c/data/json/Arcanes.json</x:v>
      </x:c>
      <x:c r="Y89" s="31" t="str">
        <x:v>f40d0d19-c224-47f8-9ef2-c225f42e91d0</x:v>
      </x:c>
    </x:row>
    <x:row r="90">
      <x:c r="A90" s="31" t="str">
        <x:v>ARC-0083</x:v>
      </x:c>
      <x:c r="B90" s="31" t="str">
        <x:v>P2</x:v>
      </x:c>
      <x:c r="C90" s="31" t="str">
        <x:v>NO</x:v>
      </x:c>
      <x:c r="D90" s="31" t="str">
        <x:v>VALUE_MISMATCH</x:v>
      </x:c>
      <x:c r="E90" s="31" t="str">
        <x:v>EXACT_NORMALIZED_NAME</x:v>
      </x:c>
      <x:c r="F90" s="31" t="str">
        <x:v>108</x:v>
      </x:c>
      <x:c r="G90" s="31" t="str">
        <x:v>Eternal Eradicate</x:v>
      </x:c>
      <x:c r="H90" s="31" t="str">
        <x:v>Eternal Eradicate</x:v>
      </x:c>
      <x:c r="I90" s="31" t="str">
        <x:v>/Lotus/Upgrades/CosmeticEnhancers/Zariman/OperatorOnOperatorAbilityIncreaseDamage</x:v>
      </x:c>
      <x:c r="J90" s="31" t="str">
        <x:v>VALID</x:v>
      </x:c>
      <x:c r="K90" s="31" t="str">
        <x:v>unique_name, equipment_type, introduced_update, effect_text</x:v>
      </x:c>
      <x:c r="L90" s="62" t="str">
        <x:v>unique_name: Gu=∅ | WFCD=/Lotus/Upgrades/CosmeticEnhancers/Zariman/OperatorOnOperatorAbilityIncreaseDamage | reason=MISSING_OR_DIFFERENT_STABLE_ID
equipment_type: Gu=∅ | WFCD=Amp Arcane | legacy_subcategory=Eternal; reason=EQUIPMENT_COMPATIBILITY_IS_SEPARATE_FROM_LEGACY_SUBCATEGORY
introduced_update: Gu=31.5 | WFCD=Update 31.5
effect_text: Gu=+30% Amp Damage vs Overguard enemies for 20s (stackable) | WFCD=On Operator Ability:\n+60% Damage to Amps for 8s | comparison=HEURISTIC_TEXT_ONLY</x:v>
      </x:c>
      <x:c r="M90" s="62" t="str">
        <x:v>Batch-review the exact-name identity and provenance fields; no game launch is expected.</x:v>
      </x:c>
      <x:c r="N90" s="62" t="str">
        <x:v>Pinned WFCD payload and current Gu row.</x:v>
      </x:c>
      <x:c r="O90" s="31" t="str">
        <x:v>NOT_STARTED</x:v>
      </x:c>
      <x:c r="P90" s="31" t="str"/>
      <x:c r="Q90" s="31" t="str">
        <x:v>Eternal Eradicate</x:v>
      </x:c>
      <x:c r="R90" s="31" t="str">
        <x:v>/Lotus/Upgrades/CosmeticEnhancers/Zariman/OperatorOnOperatorAbilityIncreaseDamage</x:v>
      </x:c>
      <x:c r="S90" s="62" t="str"/>
      <x:c r="T90" s="62" t="str"/>
      <x:c r="U90" s="31" t="str"/>
      <x:c r="V90" s="65"/>
      <x:c r="W90" s="31" t="str">
        <x:f>IF(AND(O90="COMPLETE",P90&lt;&gt;"",P90&lt;&gt;"DEFER"),"YES","NO")</x:f>
        <x:v>NO</x:v>
      </x:c>
      <x:c r="X90" s="31" t="str">
        <x:v>https://raw.githubusercontent.com/WFCD/warframe-items/f7c69c0786611df81214cabf588160d7af9cc80c/data/json/Arcanes.json</x:v>
      </x:c>
      <x:c r="Y90" s="31" t="str">
        <x:v>f40d0d19-c224-47f8-9ef2-c225f42e91d0</x:v>
      </x:c>
    </x:row>
    <x:row r="91">
      <x:c r="A91" s="31" t="str">
        <x:v>ARC-0084</x:v>
      </x:c>
      <x:c r="B91" s="31" t="str">
        <x:v>P2</x:v>
      </x:c>
      <x:c r="C91" s="31" t="str">
        <x:v>NO</x:v>
      </x:c>
      <x:c r="D91" s="31" t="str">
        <x:v>VALUE_MISMATCH</x:v>
      </x:c>
      <x:c r="E91" s="31" t="str">
        <x:v>EXACT_NORMALIZED_NAME</x:v>
      </x:c>
      <x:c r="F91" s="31" t="str">
        <x:v>402</x:v>
      </x:c>
      <x:c r="G91" s="31" t="str">
        <x:v>Eternal Logistics</x:v>
      </x:c>
      <x:c r="H91" s="31" t="str">
        <x:v>Eternal Logistics</x:v>
      </x:c>
      <x:c r="I91" s="31" t="str">
        <x:v>/Lotus/Upgrades/CosmeticEnhancers/Zariman/AmpOnVoidSlingAmpAmmoEfficiency</x:v>
      </x:c>
      <x:c r="J91" s="31" t="str">
        <x:v>VALID</x:v>
      </x:c>
      <x:c r="K91" s="31" t="str">
        <x:v>unique_name, equipment_type, introduced_update, effect_text</x:v>
      </x:c>
      <x:c r="L91" s="62" t="str">
        <x:v>unique_name: Gu=∅ | WFCD=/Lotus/Upgrades/CosmeticEnhancers/Zariman/AmpOnVoidSlingAmpAmmoEfficiency | reason=MISSING_OR_DIFFERENT_STABLE_ID
equipment_type: Gu=∅ | WFCD=Amp Arcane | legacy_subcategory=; reason=EQUIPMENT_COMPATIBILITY_IS_SEPARATE_FROM_LEGACY_SUBCATEGORY
introduced_update: Gu=∅ | WFCD=Update 31.6
effect_text: Gu=∅ | WFCD=On Void Sling:\n+72% Amp Ammo Efficiency for 8s | comparison=HEURISTIC_TEXT_ONLY</x:v>
      </x:c>
      <x:c r="M91" s="62" t="str">
        <x:v>Batch-review the exact-name identity and provenance fields; no game launch is expected.</x:v>
      </x:c>
      <x:c r="N91" s="62" t="str">
        <x:v>Pinned WFCD payload and current Gu row.</x:v>
      </x:c>
      <x:c r="O91" s="31" t="str">
        <x:v>NOT_STARTED</x:v>
      </x:c>
      <x:c r="P91" s="31" t="str"/>
      <x:c r="Q91" s="31" t="str">
        <x:v>Eternal Logistics</x:v>
      </x:c>
      <x:c r="R91" s="31" t="str">
        <x:v>/Lotus/Upgrades/CosmeticEnhancers/Zariman/AmpOnVoidSlingAmpAmmoEfficiency</x:v>
      </x:c>
      <x:c r="S91" s="62" t="str"/>
      <x:c r="T91" s="62" t="str"/>
      <x:c r="U91" s="31" t="str"/>
      <x:c r="V91" s="65"/>
      <x:c r="W91" s="31" t="str">
        <x:f>IF(AND(O91="COMPLETE",P91&lt;&gt;"",P91&lt;&gt;"DEFER"),"YES","NO")</x:f>
        <x:v>NO</x:v>
      </x:c>
      <x:c r="X91" s="31" t="str">
        <x:v>https://raw.githubusercontent.com/WFCD/warframe-items/f7c69c0786611df81214cabf588160d7af9cc80c/data/json/Arcanes.json</x:v>
      </x:c>
      <x:c r="Y91" s="31" t="str">
        <x:v>f40d0d19-c224-47f8-9ef2-c225f42e91d0</x:v>
      </x:c>
    </x:row>
    <x:row r="92">
      <x:c r="A92" s="31" t="str">
        <x:v>ARC-0085</x:v>
      </x:c>
      <x:c r="B92" s="31" t="str">
        <x:v>P2</x:v>
      </x:c>
      <x:c r="C92" s="31" t="str">
        <x:v>NO</x:v>
      </x:c>
      <x:c r="D92" s="31" t="str">
        <x:v>VALUE_MISMATCH</x:v>
      </x:c>
      <x:c r="E92" s="31" t="str">
        <x:v>EXACT_NORMALIZED_NAME</x:v>
      </x:c>
      <x:c r="F92" s="31" t="str">
        <x:v>233</x:v>
      </x:c>
      <x:c r="G92" s="31" t="str">
        <x:v>Eternal Onslaught</x:v>
      </x:c>
      <x:c r="H92" s="31" t="str">
        <x:v>Eternal Onslaught</x:v>
      </x:c>
      <x:c r="I92" s="31" t="str">
        <x:v>/Lotus/Upgrades/CosmeticEnhancers/Zariman/AmpOnEnergyDepletedCritChance</x:v>
      </x:c>
      <x:c r="J92" s="31" t="str">
        <x:v>VALID</x:v>
      </x:c>
      <x:c r="K92" s="31" t="str">
        <x:v>unique_name, equipment_type, introduced_update, effect_text</x:v>
      </x:c>
      <x:c r="L92" s="62" t="str">
        <x:v>unique_name: Gu=∅ | WFCD=/Lotus/Upgrades/CosmeticEnhancers/Zariman/AmpOnEnergyDepletedCritChance | reason=MISSING_OR_DIFFERENT_STABLE_ID
equipment_type: Gu=∅ | WFCD=Amp Arcane | legacy_subcategory=Eternal; reason=EQUIPMENT_COMPATIBILITY_IS_SEPARATE_FROM_LEGACY_SUBCATEGORY
introduced_update: Gu=31.5 | WFCD=Update 31.6
effect_text: Gu=Stacking +15% Amp Damage per hit; max +90% for 8s | WFCD=On Energy Depleted:\n180% Critical Chance for 8s | comparison=HEURISTIC_TEXT_ONLY</x:v>
      </x:c>
      <x:c r="M92" s="62" t="str">
        <x:v>Batch-review the exact-name identity and provenance fields; no game launch is expected.</x:v>
      </x:c>
      <x:c r="N92" s="62" t="str">
        <x:v>Pinned WFCD payload and current Gu row.</x:v>
      </x:c>
      <x:c r="O92" s="31" t="str">
        <x:v>NOT_STARTED</x:v>
      </x:c>
      <x:c r="P92" s="31" t="str"/>
      <x:c r="Q92" s="31" t="str">
        <x:v>Eternal Onslaught</x:v>
      </x:c>
      <x:c r="R92" s="31" t="str">
        <x:v>/Lotus/Upgrades/CosmeticEnhancers/Zariman/AmpOnEnergyDepletedCritChance</x:v>
      </x:c>
      <x:c r="S92" s="62" t="str"/>
      <x:c r="T92" s="62" t="str"/>
      <x:c r="U92" s="31" t="str"/>
      <x:c r="V92" s="65"/>
      <x:c r="W92" s="31" t="str">
        <x:f>IF(AND(O92="COMPLETE",P92&lt;&gt;"",P92&lt;&gt;"DEFER"),"YES","NO")</x:f>
        <x:v>NO</x:v>
      </x:c>
      <x:c r="X92" s="31" t="str">
        <x:v>https://raw.githubusercontent.com/WFCD/warframe-items/f7c69c0786611df81214cabf588160d7af9cc80c/data/json/Arcanes.json</x:v>
      </x:c>
      <x:c r="Y92" s="31" t="str">
        <x:v>f40d0d19-c224-47f8-9ef2-c225f42e91d0</x:v>
      </x:c>
    </x:row>
    <x:row r="93">
      <x:c r="A93" s="31" t="str">
        <x:v>ARC-0086</x:v>
      </x:c>
      <x:c r="B93" s="31" t="str">
        <x:v>P2</x:v>
      </x:c>
      <x:c r="C93" s="31" t="str">
        <x:v>NO</x:v>
      </x:c>
      <x:c r="D93" s="31" t="str">
        <x:v>VALUE_MISMATCH</x:v>
      </x:c>
      <x:c r="E93" s="31" t="str">
        <x:v>EXACT_NORMALIZED_NAME</x:v>
      </x:c>
      <x:c r="F93" s="31" t="str">
        <x:v>44</x:v>
      </x:c>
      <x:c r="G93" s="31" t="str">
        <x:v>Exodia Brave</x:v>
      </x:c>
      <x:c r="H93" s="31" t="str">
        <x:v>Exodia Brave</x:v>
      </x:c>
      <x:c r="I93" s="31" t="str">
        <x:v>/Lotus/Upgrades/CosmeticEnhancers/Offensive/ChannelKillEnergyRate</x:v>
      </x:c>
      <x:c r="J93" s="31" t="str">
        <x:v>VALID</x:v>
      </x:c>
      <x:c r="K93" s="31" t="str">
        <x:v>unique_name, equipment_type, introduced_update, effect_text</x:v>
      </x:c>
      <x:c r="L93" s="62" t="str">
        <x:v>unique_name: Gu=∅ | WFCD=/Lotus/Upgrades/CosmeticEnhancers/Offensive/ChannelKillEnergyRate | reason=MISSING_OR_DIFFERENT_STABLE_ID
equipment_type: Gu=∅ | WFCD=Zaw Arcane | legacy_subcategory=Exodia; reason=EQUIPMENT_COMPATIBILITY_IS_SEPARATE_FROM_LEGACY_SUBCATEGORY
introduced_update: Gu=22.0 | WFCD=Update 22.0
effect_text: Gu=Restore +12 Energy per Heavy Attack hit | WFCD=On Heavy Attack Kill:\n+5 Energy Rate for 4s. Stacks up to 3x. | comparison=HEURISTIC_TEXT_ONLY</x:v>
      </x:c>
      <x:c r="M93" s="62" t="str">
        <x:v>Batch-review the exact-name identity and provenance fields; no game launch is expected.</x:v>
      </x:c>
      <x:c r="N93" s="62" t="str">
        <x:v>Pinned WFCD payload and current Gu row.</x:v>
      </x:c>
      <x:c r="O93" s="31" t="str">
        <x:v>NOT_STARTED</x:v>
      </x:c>
      <x:c r="P93" s="31" t="str"/>
      <x:c r="Q93" s="31" t="str">
        <x:v>Exodia Brave</x:v>
      </x:c>
      <x:c r="R93" s="31" t="str">
        <x:v>/Lotus/Upgrades/CosmeticEnhancers/Offensive/ChannelKillEnergyRate</x:v>
      </x:c>
      <x:c r="S93" s="62" t="str"/>
      <x:c r="T93" s="62" t="str"/>
      <x:c r="U93" s="31" t="str"/>
      <x:c r="V93" s="65"/>
      <x:c r="W93" s="31" t="str">
        <x:f>IF(AND(O93="COMPLETE",P93&lt;&gt;"",P93&lt;&gt;"DEFER"),"YES","NO")</x:f>
        <x:v>NO</x:v>
      </x:c>
      <x:c r="X93" s="31" t="str">
        <x:v>https://raw.githubusercontent.com/WFCD/warframe-items/f7c69c0786611df81214cabf588160d7af9cc80c/data/json/Arcanes.json</x:v>
      </x:c>
      <x:c r="Y93" s="31" t="str">
        <x:v>f40d0d19-c224-47f8-9ef2-c225f42e91d0</x:v>
      </x:c>
    </x:row>
    <x:row r="94">
      <x:c r="A94" s="31" t="str">
        <x:v>ARC-0087</x:v>
      </x:c>
      <x:c r="B94" s="31" t="str">
        <x:v>P2</x:v>
      </x:c>
      <x:c r="C94" s="31" t="str">
        <x:v>NO</x:v>
      </x:c>
      <x:c r="D94" s="31" t="str">
        <x:v>VALUE_MISMATCH</x:v>
      </x:c>
      <x:c r="E94" s="31" t="str">
        <x:v>EXACT_NORMALIZED_NAME</x:v>
      </x:c>
      <x:c r="F94" s="31" t="str">
        <x:v>94</x:v>
      </x:c>
      <x:c r="G94" s="31" t="str">
        <x:v>Exodia Contagion</x:v>
      </x:c>
      <x:c r="H94" s="31" t="str">
        <x:v>Exodia Contagion</x:v>
      </x:c>
      <x:c r="I94" s="31" t="str">
        <x:v>/Lotus/Upgrades/CosmeticEnhancers/Offensive/MeleeArcaneProjectileOnJump</x:v>
      </x:c>
      <x:c r="J94" s="31" t="str">
        <x:v>VALID</x:v>
      </x:c>
      <x:c r="K94" s="31" t="str">
        <x:v>unique_name, equipment_type, introduced_update, effect_text</x:v>
      </x:c>
      <x:c r="L94" s="62" t="str">
        <x:v>unique_name: Gu=∅ | WFCD=/Lotus/Upgrades/CosmeticEnhancers/Offensive/MeleeArcaneProjectileOnJump | reason=MISSING_OR_DIFFERENT_STABLE_ID
equipment_type: Gu=∅ | WFCD=Zaw Arcane | legacy_subcategory=Exodia; reason=EQUIPMENT_COMPATIBILITY_IS_SEPARATE_FROM_LEGACY_SUBCATEGORY
introduced_update: Gu=22.0 | WFCD=Update 22.3
effect_text: Gu=Launch a Viral/Toxin projectile on aerial melee attacks | WFCD=After a Bullet Jump or Double Jump:\nMelee while Aim Gliding launches a projectile that explodes on impact | comparison=HEURISTIC_TEXT_ONLY</x:v>
      </x:c>
      <x:c r="M94" s="62" t="str">
        <x:v>Batch-review the exact-name identity and provenance fields; no game launch is expected.</x:v>
      </x:c>
      <x:c r="N94" s="62" t="str">
        <x:v>Pinned WFCD payload and current Gu row.</x:v>
      </x:c>
      <x:c r="O94" s="31" t="str">
        <x:v>NOT_STARTED</x:v>
      </x:c>
      <x:c r="P94" s="31" t="str"/>
      <x:c r="Q94" s="31" t="str">
        <x:v>Exodia Contagion</x:v>
      </x:c>
      <x:c r="R94" s="31" t="str">
        <x:v>/Lotus/Upgrades/CosmeticEnhancers/Offensive/MeleeArcaneProjectileOnJump</x:v>
      </x:c>
      <x:c r="S94" s="62" t="str"/>
      <x:c r="T94" s="62" t="str"/>
      <x:c r="U94" s="31" t="str"/>
      <x:c r="V94" s="65"/>
      <x:c r="W94" s="31" t="str">
        <x:f>IF(AND(O94="COMPLETE",P94&lt;&gt;"",P94&lt;&gt;"DEFER"),"YES","NO")</x:f>
        <x:v>NO</x:v>
      </x:c>
      <x:c r="X94" s="31" t="str">
        <x:v>https://raw.githubusercontent.com/WFCD/warframe-items/f7c69c0786611df81214cabf588160d7af9cc80c/data/json/Arcanes.json</x:v>
      </x:c>
      <x:c r="Y94" s="31" t="str">
        <x:v>f40d0d19-c224-47f8-9ef2-c225f42e91d0</x:v>
      </x:c>
    </x:row>
    <x:row r="95">
      <x:c r="A95" s="31" t="str">
        <x:v>ARC-0088</x:v>
      </x:c>
      <x:c r="B95" s="31" t="str">
        <x:v>P2</x:v>
      </x:c>
      <x:c r="C95" s="31" t="str">
        <x:v>NO</x:v>
      </x:c>
      <x:c r="D95" s="31" t="str">
        <x:v>VALUE_MISMATCH</x:v>
      </x:c>
      <x:c r="E95" s="31" t="str">
        <x:v>EXACT_NORMALIZED_NAME</x:v>
      </x:c>
      <x:c r="F95" s="31" t="str">
        <x:v>51</x:v>
      </x:c>
      <x:c r="G95" s="31" t="str">
        <x:v>Exodia Epidemic</x:v>
      </x:c>
      <x:c r="H95" s="31" t="str">
        <x:v>Exodia Epidemic</x:v>
      </x:c>
      <x:c r="I95" s="31" t="str">
        <x:v>/Lotus/Upgrades/CosmeticEnhancers/Offensive/MeleeArcaneShockwaveOnJump</x:v>
      </x:c>
      <x:c r="J95" s="31" t="str">
        <x:v>VALID</x:v>
      </x:c>
      <x:c r="K95" s="31" t="str">
        <x:v>unique_name, equipment_type, introduced_update, effect_text</x:v>
      </x:c>
      <x:c r="L95" s="62" t="str">
        <x:v>unique_name: Gu=∅ | WFCD=/Lotus/Upgrades/CosmeticEnhancers/Offensive/MeleeArcaneShockwaveOnJump | reason=MISSING_OR_DIFFERENT_STABLE_ID
equipment_type: Gu=∅ | WFCD=Zaw Arcane | legacy_subcategory=Exodia; reason=EQUIPMENT_COMPATIBILITY_IS_SEPARATE_FROM_LEGACY_SUBCATEGORY
introduced_update: Gu=22.0 | WFCD=Update 22.3
effect_text: Gu=Spread active status procs to nearby enemies | WFCD=After a Bullet Jump or Double Jump:\nSlam emits a shockwave forwards that suspends enemies in the air for a short period | comparison=HEURISTIC_TEXT_ONLY</x:v>
      </x:c>
      <x:c r="M95" s="62" t="str">
        <x:v>Batch-review the exact-name identity and provenance fields; no game launch is expected.</x:v>
      </x:c>
      <x:c r="N95" s="62" t="str">
        <x:v>Pinned WFCD payload and current Gu row.</x:v>
      </x:c>
      <x:c r="O95" s="31" t="str">
        <x:v>NOT_STARTED</x:v>
      </x:c>
      <x:c r="P95" s="31" t="str"/>
      <x:c r="Q95" s="31" t="str">
        <x:v>Exodia Epidemic</x:v>
      </x:c>
      <x:c r="R95" s="31" t="str">
        <x:v>/Lotus/Upgrades/CosmeticEnhancers/Offensive/MeleeArcaneShockwaveOnJump</x:v>
      </x:c>
      <x:c r="S95" s="62" t="str"/>
      <x:c r="T95" s="62" t="str"/>
      <x:c r="U95" s="31" t="str"/>
      <x:c r="V95" s="65"/>
      <x:c r="W95" s="31" t="str">
        <x:f>IF(AND(O95="COMPLETE",P95&lt;&gt;"",P95&lt;&gt;"DEFER"),"YES","NO")</x:f>
        <x:v>NO</x:v>
      </x:c>
      <x:c r="X95" s="31" t="str">
        <x:v>https://raw.githubusercontent.com/WFCD/warframe-items/f7c69c0786611df81214cabf588160d7af9cc80c/data/json/Arcanes.json</x:v>
      </x:c>
      <x:c r="Y95" s="31" t="str">
        <x:v>f40d0d19-c224-47f8-9ef2-c225f42e91d0</x:v>
      </x:c>
    </x:row>
    <x:row r="96">
      <x:c r="A96" s="31" t="str">
        <x:v>ARC-0089</x:v>
      </x:c>
      <x:c r="B96" s="31" t="str">
        <x:v>P2</x:v>
      </x:c>
      <x:c r="C96" s="31" t="str">
        <x:v>NO</x:v>
      </x:c>
      <x:c r="D96" s="31" t="str">
        <x:v>VALUE_MISMATCH</x:v>
      </x:c>
      <x:c r="E96" s="31" t="str">
        <x:v>EXACT_NORMALIZED_NAME</x:v>
      </x:c>
      <x:c r="F96" s="31" t="str">
        <x:v>49</x:v>
      </x:c>
      <x:c r="G96" s="31" t="str">
        <x:v>Exodia Force</x:v>
      </x:c>
      <x:c r="H96" s="31" t="str">
        <x:v>Exodia Force</x:v>
      </x:c>
      <x:c r="I96" s="31" t="str">
        <x:v>/Lotus/Upgrades/CosmeticEnhancers/Offensive/StatusTriggerRadialDamage</x:v>
      </x:c>
      <x:c r="J96" s="31" t="str">
        <x:v>VALID</x:v>
      </x:c>
      <x:c r="K96" s="31" t="str">
        <x:v>unique_name, equipment_type, introduced_update, effect_text</x:v>
      </x:c>
      <x:c r="L96" s="62" t="str">
        <x:v>unique_name: Gu=∅ | WFCD=/Lotus/Upgrades/CosmeticEnhancers/Offensive/StatusTriggerRadialDamage | reason=MISSING_OR_DIFFERENT_STABLE_ID
equipment_type: Gu=∅ | WFCD=Zaw Arcane | legacy_subcategory=Exodia; reason=EQUIPMENT_COMPATIBILITY_IS_SEPARATE_FROM_LEGACY_SUBCATEGORY
introduced_update: Gu=22.0 | WFCD=Update 22.0
effect_text: Gu=Chance to proc random elemental damage | WFCD=On Status Effect:\n50% chance to deal 200% Weapon Damage to enemies within 6m. | comparison=HEURISTIC_TEXT_ONLY</x:v>
      </x:c>
      <x:c r="M96" s="62" t="str">
        <x:v>Batch-review the exact-name identity and provenance fields; no game launch is expected.</x:v>
      </x:c>
      <x:c r="N96" s="62" t="str">
        <x:v>Pinned WFCD payload and current Gu row.</x:v>
      </x:c>
      <x:c r="O96" s="31" t="str">
        <x:v>NOT_STARTED</x:v>
      </x:c>
      <x:c r="P96" s="31" t="str"/>
      <x:c r="Q96" s="31" t="str">
        <x:v>Exodia Force</x:v>
      </x:c>
      <x:c r="R96" s="31" t="str">
        <x:v>/Lotus/Upgrades/CosmeticEnhancers/Offensive/StatusTriggerRadialDamage</x:v>
      </x:c>
      <x:c r="S96" s="62" t="str"/>
      <x:c r="T96" s="62" t="str"/>
      <x:c r="U96" s="31" t="str"/>
      <x:c r="V96" s="65"/>
      <x:c r="W96" s="31" t="str">
        <x:f>IF(AND(O96="COMPLETE",P96&lt;&gt;"",P96&lt;&gt;"DEFER"),"YES","NO")</x:f>
        <x:v>NO</x:v>
      </x:c>
      <x:c r="X96" s="31" t="str">
        <x:v>https://raw.githubusercontent.com/WFCD/warframe-items/f7c69c0786611df81214cabf588160d7af9cc80c/data/json/Arcanes.json</x:v>
      </x:c>
      <x:c r="Y96" s="31" t="str">
        <x:v>f40d0d19-c224-47f8-9ef2-c225f42e91d0</x:v>
      </x:c>
    </x:row>
    <x:row r="97">
      <x:c r="A97" s="31" t="str">
        <x:v>ARC-0090</x:v>
      </x:c>
      <x:c r="B97" s="31" t="str">
        <x:v>P2</x:v>
      </x:c>
      <x:c r="C97" s="31" t="str">
        <x:v>NO</x:v>
      </x:c>
      <x:c r="D97" s="31" t="str">
        <x:v>VALUE_MISMATCH</x:v>
      </x:c>
      <x:c r="E97" s="31" t="str">
        <x:v>EXACT_NORMALIZED_NAME</x:v>
      </x:c>
      <x:c r="F97" s="31" t="str">
        <x:v>48</x:v>
      </x:c>
      <x:c r="G97" s="31" t="str">
        <x:v>Exodia Hunt</x:v>
      </x:c>
      <x:c r="H97" s="31" t="str">
        <x:v>Exodia Hunt</x:v>
      </x:c>
      <x:c r="I97" s="31" t="str">
        <x:v>/Lotus/Upgrades/CosmeticEnhancers/Offensive/GroundSlamPull</x:v>
      </x:c>
      <x:c r="J97" s="31" t="str">
        <x:v>VALID</x:v>
      </x:c>
      <x:c r="K97" s="31" t="str">
        <x:v>unique_name, equipment_type, introduced_update, effect_text</x:v>
      </x:c>
      <x:c r="L97" s="62" t="str">
        <x:v>unique_name: Gu=∅ | WFCD=/Lotus/Upgrades/CosmeticEnhancers/Offensive/GroundSlamPull | reason=MISSING_OR_DIFFERENT_STABLE_ID
equipment_type: Gu=∅ | WFCD=Zaw Arcane | legacy_subcategory=Exodia; reason=EQUIPMENT_COMPATIBILITY_IS_SEPARATE_FROM_LEGACY_SUBCATEGORY
introduced_update: Gu=22.0 | WFCD=Update 22.0
effect_text: Gu=Chance to Magnetize targeted enemy | WFCD=On Ground Slam:\n50% chance to pull enemies within 12m into melee range. | comparison=HEURISTIC_TEXT_ONLY</x:v>
      </x:c>
      <x:c r="M97" s="62" t="str">
        <x:v>Batch-review the exact-name identity and provenance fields; no game launch is expected.</x:v>
      </x:c>
      <x:c r="N97" s="62" t="str">
        <x:v>Pinned WFCD payload and current Gu row.</x:v>
      </x:c>
      <x:c r="O97" s="31" t="str">
        <x:v>NOT_STARTED</x:v>
      </x:c>
      <x:c r="P97" s="31" t="str"/>
      <x:c r="Q97" s="31" t="str">
        <x:v>Exodia Hunt</x:v>
      </x:c>
      <x:c r="R97" s="31" t="str">
        <x:v>/Lotus/Upgrades/CosmeticEnhancers/Offensive/GroundSlamPull</x:v>
      </x:c>
      <x:c r="S97" s="62" t="str"/>
      <x:c r="T97" s="62" t="str"/>
      <x:c r="U97" s="31" t="str"/>
      <x:c r="V97" s="65"/>
      <x:c r="W97" s="31" t="str">
        <x:f>IF(AND(O97="COMPLETE",P97&lt;&gt;"",P97&lt;&gt;"DEFER"),"YES","NO")</x:f>
        <x:v>NO</x:v>
      </x:c>
      <x:c r="X97" s="31" t="str">
        <x:v>https://raw.githubusercontent.com/WFCD/warframe-items/f7c69c0786611df81214cabf588160d7af9cc80c/data/json/Arcanes.json</x:v>
      </x:c>
      <x:c r="Y97" s="31" t="str">
        <x:v>f40d0d19-c224-47f8-9ef2-c225f42e91d0</x:v>
      </x:c>
    </x:row>
    <x:row r="98">
      <x:c r="A98" s="31" t="str">
        <x:v>ARC-0091</x:v>
      </x:c>
      <x:c r="B98" s="31" t="str">
        <x:v>P2</x:v>
      </x:c>
      <x:c r="C98" s="31" t="str">
        <x:v>NO</x:v>
      </x:c>
      <x:c r="D98" s="31" t="str">
        <x:v>VALUE_MISMATCH</x:v>
      </x:c>
      <x:c r="E98" s="31" t="str">
        <x:v>EXACT_NORMALIZED_NAME</x:v>
      </x:c>
      <x:c r="F98" s="31" t="str">
        <x:v>46</x:v>
      </x:c>
      <x:c r="G98" s="31" t="str">
        <x:v>Exodia Might</x:v>
      </x:c>
      <x:c r="H98" s="31" t="str">
        <x:v>Exodia Might</x:v>
      </x:c>
      <x:c r="I98" s="31" t="str">
        <x:v>/Lotus/Upgrades/CosmeticEnhancers/Offensive/FinisherLifesteal</x:v>
      </x:c>
      <x:c r="J98" s="31" t="str">
        <x:v>VALID</x:v>
      </x:c>
      <x:c r="K98" s="31" t="str">
        <x:v>unique_name, equipment_type, introduced_update, effect_text</x:v>
      </x:c>
      <x:c r="L98" s="62" t="str">
        <x:v>unique_name: Gu=∅ | WFCD=/Lotus/Upgrades/CosmeticEnhancers/Offensive/FinisherLifesteal | reason=MISSING_OR_DIFFERENT_STABLE_ID
equipment_type: Gu=∅ | WFCD=Zaw Arcane | legacy_subcategory=Exodia; reason=EQUIPMENT_COMPATIBILITY_IS_SEPARATE_FROM_LEGACY_SUBCATEGORY
introduced_update: Gu=22.0 | WFCD=Update 22.0
effect_text: Gu=Chance to proc Hemorrhage bleed on Crit | WFCD=On Finisher Kill:\n50% chance for +30% Life Steal for 8s | comparison=HEURISTIC_TEXT_ONLY</x:v>
      </x:c>
      <x:c r="M98" s="62" t="str">
        <x:v>Batch-review the exact-name identity and provenance fields; no game launch is expected.</x:v>
      </x:c>
      <x:c r="N98" s="62" t="str">
        <x:v>Pinned WFCD payload and current Gu row.</x:v>
      </x:c>
      <x:c r="O98" s="31" t="str">
        <x:v>NOT_STARTED</x:v>
      </x:c>
      <x:c r="P98" s="31" t="str"/>
      <x:c r="Q98" s="31" t="str">
        <x:v>Exodia Might</x:v>
      </x:c>
      <x:c r="R98" s="31" t="str">
        <x:v>/Lotus/Upgrades/CosmeticEnhancers/Offensive/FinisherLifesteal</x:v>
      </x:c>
      <x:c r="S98" s="62" t="str"/>
      <x:c r="T98" s="62" t="str"/>
      <x:c r="U98" s="31" t="str"/>
      <x:c r="V98" s="65"/>
      <x:c r="W98" s="31" t="str">
        <x:f>IF(AND(O98="COMPLETE",P98&lt;&gt;"",P98&lt;&gt;"DEFER"),"YES","NO")</x:f>
        <x:v>NO</x:v>
      </x:c>
      <x:c r="X98" s="31" t="str">
        <x:v>https://raw.githubusercontent.com/WFCD/warframe-items/f7c69c0786611df81214cabf588160d7af9cc80c/data/json/Arcanes.json</x:v>
      </x:c>
      <x:c r="Y98" s="31" t="str">
        <x:v>f40d0d19-c224-47f8-9ef2-c225f42e91d0</x:v>
      </x:c>
    </x:row>
    <x:row r="99">
      <x:c r="A99" s="31" t="str">
        <x:v>ARC-0092</x:v>
      </x:c>
      <x:c r="B99" s="31" t="str">
        <x:v>P2</x:v>
      </x:c>
      <x:c r="C99" s="31" t="str">
        <x:v>NO</x:v>
      </x:c>
      <x:c r="D99" s="31" t="str">
        <x:v>VALUE_MISMATCH</x:v>
      </x:c>
      <x:c r="E99" s="31" t="str">
        <x:v>EXACT_NORMALIZED_NAME</x:v>
      </x:c>
      <x:c r="F99" s="31" t="str">
        <x:v>47</x:v>
      </x:c>
      <x:c r="G99" s="31" t="str">
        <x:v>Exodia Triumph</x:v>
      </x:c>
      <x:c r="H99" s="31" t="str">
        <x:v>Exodia Triumph</x:v>
      </x:c>
      <x:c r="I99" s="31" t="str">
        <x:v>/Lotus/Upgrades/CosmeticEnhancers/Offensive/StatusChannelingDamage</x:v>
      </x:c>
      <x:c r="J99" s="31" t="str">
        <x:v>VALID</x:v>
      </x:c>
      <x:c r="K99" s="31" t="str">
        <x:v>unique_name, equipment_type, introduced_update, effect_text</x:v>
      </x:c>
      <x:c r="L99" s="62" t="str">
        <x:v>unique_name: Gu=∅ | WFCD=/Lotus/Upgrades/CosmeticEnhancers/Offensive/StatusChannelingDamage | reason=MISSING_OR_DIFFERENT_STABLE_ID
equipment_type: Gu=∅ | WFCD=Zaw Arcane | legacy_subcategory=Exodia; reason=EQUIPMENT_COMPATIBILITY_IS_SEPARATE_FROM_LEGACY_SUBCATEGORY
introduced_update: Gu=22.0 | WFCD=Update 22.0
effect_text: Gu=Chance to make the Warframe Invulnerable for 6s | WFCD=+50% Additional Combo Count Chance | comparison=HEURISTIC_TEXT_ONLY</x:v>
      </x:c>
      <x:c r="M99" s="62" t="str">
        <x:v>Batch-review the exact-name identity and provenance fields; no game launch is expected.</x:v>
      </x:c>
      <x:c r="N99" s="62" t="str">
        <x:v>Pinned WFCD payload and current Gu row.</x:v>
      </x:c>
      <x:c r="O99" s="31" t="str">
        <x:v>NOT_STARTED</x:v>
      </x:c>
      <x:c r="P99" s="31" t="str"/>
      <x:c r="Q99" s="31" t="str">
        <x:v>Exodia Triumph</x:v>
      </x:c>
      <x:c r="R99" s="31" t="str">
        <x:v>/Lotus/Upgrades/CosmeticEnhancers/Offensive/StatusChannelingDamage</x:v>
      </x:c>
      <x:c r="S99" s="62" t="str"/>
      <x:c r="T99" s="62" t="str"/>
      <x:c r="U99" s="31" t="str"/>
      <x:c r="V99" s="65"/>
      <x:c r="W99" s="31" t="str">
        <x:f>IF(AND(O99="COMPLETE",P99&lt;&gt;"",P99&lt;&gt;"DEFER"),"YES","NO")</x:f>
        <x:v>NO</x:v>
      </x:c>
      <x:c r="X99" s="31" t="str">
        <x:v>https://raw.githubusercontent.com/WFCD/warframe-items/f7c69c0786611df81214cabf588160d7af9cc80c/data/json/Arcanes.json</x:v>
      </x:c>
      <x:c r="Y99" s="31" t="str">
        <x:v>f40d0d19-c224-47f8-9ef2-c225f42e91d0</x:v>
      </x:c>
    </x:row>
    <x:row r="100">
      <x:c r="A100" s="31" t="str">
        <x:v>ARC-0093</x:v>
      </x:c>
      <x:c r="B100" s="31" t="str">
        <x:v>P2</x:v>
      </x:c>
      <x:c r="C100" s="31" t="str">
        <x:v>NO</x:v>
      </x:c>
      <x:c r="D100" s="31" t="str">
        <x:v>VALUE_MISMATCH</x:v>
      </x:c>
      <x:c r="E100" s="31" t="str">
        <x:v>EXACT_NORMALIZED_NAME</x:v>
      </x:c>
      <x:c r="F100" s="31" t="str">
        <x:v>45</x:v>
      </x:c>
      <x:c r="G100" s="31" t="str">
        <x:v>Exodia Valor</x:v>
      </x:c>
      <x:c r="H100" s="31" t="str">
        <x:v>Exodia Valor</x:v>
      </x:c>
      <x:c r="I100" s="31" t="str">
        <x:v>/Lotus/Upgrades/CosmeticEnhancers/Offensive/CritChannelingDamage</x:v>
      </x:c>
      <x:c r="J100" s="31" t="str">
        <x:v>VALID</x:v>
      </x:c>
      <x:c r="K100" s="31" t="str">
        <x:v>unique_name, equipment_type, introduced_update, effect_text</x:v>
      </x:c>
      <x:c r="L100" s="62" t="str">
        <x:v>unique_name: Gu=∅ | WFCD=/Lotus/Upgrades/CosmeticEnhancers/Offensive/CritChannelingDamage | reason=MISSING_OR_DIFFERENT_STABLE_ID
equipment_type: Gu=∅ | WFCD=Zaw Arcane | legacy_subcategory=Exodia; reason=EQUIPMENT_COMPATIBILITY_IS_SEPARATE_FROM_LEGACY_SUBCATEGORY
introduced_update: Gu=22.0 | WFCD=Update 22.0
effect_text: Gu=Chance to deal bonus Slash damage | WFCD=+200% Additional Combo Count Chance on Lifted enemies | comparison=HEURISTIC_TEXT_ONLY</x:v>
      </x:c>
      <x:c r="M100" s="62" t="str">
        <x:v>Batch-review the exact-name identity and provenance fields; no game launch is expected.</x:v>
      </x:c>
      <x:c r="N100" s="62" t="str">
        <x:v>Pinned WFCD payload and current Gu row.</x:v>
      </x:c>
      <x:c r="O100" s="31" t="str">
        <x:v>NOT_STARTED</x:v>
      </x:c>
      <x:c r="P100" s="31" t="str"/>
      <x:c r="Q100" s="31" t="str">
        <x:v>Exodia Valor</x:v>
      </x:c>
      <x:c r="R100" s="31" t="str">
        <x:v>/Lotus/Upgrades/CosmeticEnhancers/Offensive/CritChannelingDamage</x:v>
      </x:c>
      <x:c r="S100" s="62" t="str"/>
      <x:c r="T100" s="62" t="str"/>
      <x:c r="U100" s="31" t="str"/>
      <x:c r="V100" s="65"/>
      <x:c r="W100" s="31" t="str">
        <x:f>IF(AND(O100="COMPLETE",P100&lt;&gt;"",P100&lt;&gt;"DEFER"),"YES","NO")</x:f>
        <x:v>NO</x:v>
      </x:c>
      <x:c r="X100" s="31" t="str">
        <x:v>https://raw.githubusercontent.com/WFCD/warframe-items/f7c69c0786611df81214cabf588160d7af9cc80c/data/json/Arcanes.json</x:v>
      </x:c>
      <x:c r="Y100" s="31" t="str">
        <x:v>f40d0d19-c224-47f8-9ef2-c225f42e91d0</x:v>
      </x:c>
    </x:row>
    <x:row r="101">
      <x:c r="A101" s="31" t="str">
        <x:v>ARC-0094</x:v>
      </x:c>
      <x:c r="B101" s="31" t="str">
        <x:v>P2</x:v>
      </x:c>
      <x:c r="C101" s="31" t="str">
        <x:v>NO</x:v>
      </x:c>
      <x:c r="D101" s="31" t="str">
        <x:v>VALUE_MISMATCH</x:v>
      </x:c>
      <x:c r="E101" s="31" t="str">
        <x:v>EXACT_NORMALIZED_NAME</x:v>
      </x:c>
      <x:c r="F101" s="31" t="str">
        <x:v>388</x:v>
      </x:c>
      <x:c r="G101" s="31" t="str">
        <x:v>Fractalized Reset</x:v>
      </x:c>
      <x:c r="H101" s="31" t="str">
        <x:v>Fractalized Reset</x:v>
      </x:c>
      <x:c r="I101" s="31" t="str">
        <x:v>/Lotus/Upgrades/CosmeticEnhancers/Zariman/PrimaryOnAbilityReloadSpeed</x:v>
      </x:c>
      <x:c r="J101" s="31" t="str">
        <x:v>VALID</x:v>
      </x:c>
      <x:c r="K101" s="31" t="str">
        <x:v>unique_name, equipment_type, introduced_update, effect_text</x:v>
      </x:c>
      <x:c r="L101" s="62" t="str">
        <x:v>unique_name: Gu=∅ | WFCD=/Lotus/Upgrades/CosmeticEnhancers/Zariman/PrimaryOnAbilityReloadSpeed | reason=MISSING_OR_DIFFERENT_STABLE_ID
equipment_type: Gu=∅ | WFCD=Primary Arcane | legacy_subcategory=; reason=EQUIPMENT_COMPATIBILITY_IS_SEPARATE_FROM_LEGACY_SUBCATEGORY
introduced_update: Gu=∅ | WFCD=Update 31.5
effect_text: Gu=∅ | WFCD=On Ability Cast:\n+240% Reload Speed for 5s | comparison=HEURISTIC_TEXT_ONLY</x:v>
      </x:c>
      <x:c r="M101" s="62" t="str">
        <x:v>Batch-review the exact-name identity and provenance fields; no game launch is expected.</x:v>
      </x:c>
      <x:c r="N101" s="62" t="str">
        <x:v>Pinned WFCD payload and current Gu row.</x:v>
      </x:c>
      <x:c r="O101" s="31" t="str">
        <x:v>NOT_STARTED</x:v>
      </x:c>
      <x:c r="P101" s="31" t="str"/>
      <x:c r="Q101" s="31" t="str">
        <x:v>Fractalized Reset</x:v>
      </x:c>
      <x:c r="R101" s="31" t="str">
        <x:v>/Lotus/Upgrades/CosmeticEnhancers/Zariman/PrimaryOnAbilityReloadSpeed</x:v>
      </x:c>
      <x:c r="S101" s="62" t="str"/>
      <x:c r="T101" s="62" t="str"/>
      <x:c r="U101" s="31" t="str"/>
      <x:c r="V101" s="65"/>
      <x:c r="W101" s="31" t="str">
        <x:f>IF(AND(O101="COMPLETE",P101&lt;&gt;"",P101&lt;&gt;"DEFER"),"YES","NO")</x:f>
        <x:v>NO</x:v>
      </x:c>
      <x:c r="X101" s="31" t="str">
        <x:v>https://raw.githubusercontent.com/WFCD/warframe-items/f7c69c0786611df81214cabf588160d7af9cc80c/data/json/Arcanes.json</x:v>
      </x:c>
      <x:c r="Y101" s="31" t="str">
        <x:v>f40d0d19-c224-47f8-9ef2-c225f42e91d0</x:v>
      </x:c>
    </x:row>
    <x:row r="102">
      <x:c r="A102" s="31" t="str">
        <x:v>ARC-0095</x:v>
      </x:c>
      <x:c r="B102" s="31" t="str">
        <x:v>P2</x:v>
      </x:c>
      <x:c r="C102" s="31" t="str">
        <x:v>NO</x:v>
      </x:c>
      <x:c r="D102" s="31" t="str">
        <x:v>VALUE_MISMATCH</x:v>
      </x:c>
      <x:c r="E102" s="31" t="str">
        <x:v>EXACT_NORMALIZED_NAME</x:v>
      </x:c>
      <x:c r="F102" s="31" t="str">
        <x:v>384</x:v>
      </x:c>
      <x:c r="G102" s="31" t="str">
        <x:v>Longbow Sharpshot</x:v>
      </x:c>
      <x:c r="H102" s="31" t="str">
        <x:v>Longbow Sharpshot</x:v>
      </x:c>
      <x:c r="I102" s="31" t="str">
        <x:v>/Lotus/Upgrades/CosmeticEnhancers/Offensive/LongbowDamageOnHeadshot</x:v>
      </x:c>
      <x:c r="J102" s="31" t="str">
        <x:v>VALID</x:v>
      </x:c>
      <x:c r="K102" s="31" t="str">
        <x:v>unique_name, equipment_type, introduced_update, effect_text</x:v>
      </x:c>
      <x:c r="L102" s="62" t="str">
        <x:v>unique_name: Gu=∅ | WFCD=/Lotus/Upgrades/CosmeticEnhancers/Offensive/LongbowDamageOnHeadshot | reason=MISSING_OR_DIFFERENT_STABLE_ID
equipment_type: Gu=∅ | WFCD=Bow Arcane | legacy_subcategory=; reason=EQUIPMENT_COMPATIBILITY_IS_SEPARATE_FROM_LEGACY_SUBCATEGORY
introduced_update: Gu=∅ | WFCD=Update 33.0
effect_text: Gu=∅ | WFCD=On Headshot: Gain +300% damage on your next shot. | comparison=HEURISTIC_TEXT_ONLY</x:v>
      </x:c>
      <x:c r="M102" s="62" t="str">
        <x:v>Batch-review the exact-name identity and provenance fields; no game launch is expected.</x:v>
      </x:c>
      <x:c r="N102" s="62" t="str">
        <x:v>Pinned WFCD payload and current Gu row.</x:v>
      </x:c>
      <x:c r="O102" s="31" t="str">
        <x:v>NOT_STARTED</x:v>
      </x:c>
      <x:c r="P102" s="31" t="str"/>
      <x:c r="Q102" s="31" t="str">
        <x:v>Longbow Sharpshot</x:v>
      </x:c>
      <x:c r="R102" s="31" t="str">
        <x:v>/Lotus/Upgrades/CosmeticEnhancers/Offensive/LongbowDamageOnHeadshot</x:v>
      </x:c>
      <x:c r="S102" s="62" t="str"/>
      <x:c r="T102" s="62" t="str"/>
      <x:c r="U102" s="31" t="str"/>
      <x:c r="V102" s="65"/>
      <x:c r="W102" s="31" t="str">
        <x:f>IF(AND(O102="COMPLETE",P102&lt;&gt;"",P102&lt;&gt;"DEFER"),"YES","NO")</x:f>
        <x:v>NO</x:v>
      </x:c>
      <x:c r="X102" s="31" t="str">
        <x:v>https://raw.githubusercontent.com/WFCD/warframe-items/f7c69c0786611df81214cabf588160d7af9cc80c/data/json/Arcanes.json</x:v>
      </x:c>
      <x:c r="Y102" s="31" t="str">
        <x:v>f40d0d19-c224-47f8-9ef2-c225f42e91d0</x:v>
      </x:c>
    </x:row>
    <x:row r="103">
      <x:c r="A103" s="31" t="str">
        <x:v>ARC-0096</x:v>
      </x:c>
      <x:c r="B103" s="31" t="str">
        <x:v>P2</x:v>
      </x:c>
      <x:c r="C103" s="31" t="str">
        <x:v>NO</x:v>
      </x:c>
      <x:c r="D103" s="31" t="str">
        <x:v>VALUE_MISMATCH</x:v>
      </x:c>
      <x:c r="E103" s="31" t="str">
        <x:v>EXACT_NORMALIZED_NAME</x:v>
      </x:c>
      <x:c r="F103" s="31" t="str">
        <x:v>408</x:v>
      </x:c>
      <x:c r="G103" s="31" t="str">
        <x:v>Magus Accelerant</x:v>
      </x:c>
      <x:c r="H103" s="31" t="str">
        <x:v>Magus Accelerant</x:v>
      </x:c>
      <x:c r="I103" s="31" t="str">
        <x:v>/Lotus/Upgrades/CosmeticEnhancers/OperatorArmour/HeatResistOnBlast</x:v>
      </x:c>
      <x:c r="J103" s="31" t="str">
        <x:v>VALID</x:v>
      </x:c>
      <x:c r="K103" s="31" t="str">
        <x:v>unique_name, equipment_type, introduced_update, effect_text</x:v>
      </x:c>
      <x:c r="L103" s="62" t="str">
        <x:v>unique_name: Gu=∅ | WFCD=/Lotus/Upgrades/CosmeticEnhancers/OperatorArmour/HeatResistOnBlast | reason=MISSING_OR_DIFFERENT_STABLE_ID
equipment_type: Gu=∅ | WFCD=Operator Arcane | legacy_subcategory=; reason=EQUIPMENT_COMPATIBILITY_IS_SEPARATE_FROM_LEGACY_SUBCATEGORY
introduced_update: Gu=∅ | WFCD=Update 24.2
effect_text: Gu=∅ | WFCD=On Void Sling:\nReduce Enemy Resistance to &lt;DT_FIRE_COLOR&gt;Heat Damage by 65%. | comparison=HEURISTIC_TEXT_ONLY</x:v>
      </x:c>
      <x:c r="M103" s="62" t="str">
        <x:v>Batch-review the exact-name identity and provenance fields; no game launch is expected.</x:v>
      </x:c>
      <x:c r="N103" s="62" t="str">
        <x:v>Pinned WFCD payload and current Gu row.</x:v>
      </x:c>
      <x:c r="O103" s="31" t="str">
        <x:v>NOT_STARTED</x:v>
      </x:c>
      <x:c r="P103" s="31" t="str"/>
      <x:c r="Q103" s="31" t="str">
        <x:v>Magus Accelerant</x:v>
      </x:c>
      <x:c r="R103" s="31" t="str">
        <x:v>/Lotus/Upgrades/CosmeticEnhancers/OperatorArmour/HeatResistOnBlast</x:v>
      </x:c>
      <x:c r="S103" s="62" t="str"/>
      <x:c r="T103" s="62" t="str"/>
      <x:c r="U103" s="31" t="str"/>
      <x:c r="V103" s="65"/>
      <x:c r="W103" s="31" t="str">
        <x:f>IF(AND(O103="COMPLETE",P103&lt;&gt;"",P103&lt;&gt;"DEFER"),"YES","NO")</x:f>
        <x:v>NO</x:v>
      </x:c>
      <x:c r="X103" s="31" t="str">
        <x:v>https://raw.githubusercontent.com/WFCD/warframe-items/f7c69c0786611df81214cabf588160d7af9cc80c/data/json/Arcanes.json</x:v>
      </x:c>
      <x:c r="Y103" s="31" t="str">
        <x:v>f40d0d19-c224-47f8-9ef2-c225f42e91d0</x:v>
      </x:c>
    </x:row>
    <x:row r="104">
      <x:c r="A104" s="31" t="str">
        <x:v>ARC-0097</x:v>
      </x:c>
      <x:c r="B104" s="31" t="str">
        <x:v>P2</x:v>
      </x:c>
      <x:c r="C104" s="31" t="str">
        <x:v>NO</x:v>
      </x:c>
      <x:c r="D104" s="31" t="str">
        <x:v>VALUE_MISMATCH</x:v>
      </x:c>
      <x:c r="E104" s="31" t="str">
        <x:v>EXACT_NORMALIZED_NAME</x:v>
      </x:c>
      <x:c r="F104" s="31" t="str">
        <x:v>406</x:v>
      </x:c>
      <x:c r="G104" s="31" t="str">
        <x:v>Magus Aggress</x:v>
      </x:c>
      <x:c r="H104" s="31" t="str">
        <x:v>Magus Aggress</x:v>
      </x:c>
      <x:c r="I104" s="31" t="str">
        <x:v>/Lotus/Upgrades/CosmeticEnhancers/Offensive/OperatorHeavyMeleeDamageOnTransference</x:v>
      </x:c>
      <x:c r="J104" s="31" t="str">
        <x:v>VALID</x:v>
      </x:c>
      <x:c r="K104" s="31" t="str">
        <x:v>unique_name, equipment_type, introduced_update, effect_text</x:v>
      </x:c>
      <x:c r="L104" s="62" t="str">
        <x:v>unique_name: Gu=∅ | WFCD=/Lotus/Upgrades/CosmeticEnhancers/Offensive/OperatorHeavyMeleeDamageOnTransference | reason=MISSING_OR_DIFFERENT_STABLE_ID
equipment_type: Gu=∅ | WFCD=Operator Arcane | legacy_subcategory=; reason=EQUIPMENT_COMPATIBILITY_IS_SEPARATE_FROM_LEGACY_SUBCATEGORY
introduced_update: Gu=∅ | WFCD=Update 33.0
effect_text: Gu=∅ | WFCD=On Warframe Melee Transference: Heavy Blades deal +300% Critical Damage for 4 consecutive attacks. Cooldown 20s. | comparison=HEURISTIC_TEXT_ONLY</x:v>
      </x:c>
      <x:c r="M104" s="62" t="str">
        <x:v>Batch-review the exact-name identity and provenance fields; no game launch is expected.</x:v>
      </x:c>
      <x:c r="N104" s="62" t="str">
        <x:v>Pinned WFCD payload and current Gu row.</x:v>
      </x:c>
      <x:c r="O104" s="31" t="str">
        <x:v>NOT_STARTED</x:v>
      </x:c>
      <x:c r="P104" s="31" t="str"/>
      <x:c r="Q104" s="31" t="str">
        <x:v>Magus Aggress</x:v>
      </x:c>
      <x:c r="R104" s="31" t="str">
        <x:v>/Lotus/Upgrades/CosmeticEnhancers/Offensive/OperatorHeavyMeleeDamageOnTransference</x:v>
      </x:c>
      <x:c r="S104" s="62" t="str"/>
      <x:c r="T104" s="62" t="str"/>
      <x:c r="U104" s="31" t="str"/>
      <x:c r="V104" s="65"/>
      <x:c r="W104" s="31" t="str">
        <x:f>IF(AND(O104="COMPLETE",P104&lt;&gt;"",P104&lt;&gt;"DEFER"),"YES","NO")</x:f>
        <x:v>NO</x:v>
      </x:c>
      <x:c r="X104" s="31" t="str">
        <x:v>https://raw.githubusercontent.com/WFCD/warframe-items/f7c69c0786611df81214cabf588160d7af9cc80c/data/json/Arcanes.json</x:v>
      </x:c>
      <x:c r="Y104" s="31" t="str">
        <x:v>f40d0d19-c224-47f8-9ef2-c225f42e91d0</x:v>
      </x:c>
    </x:row>
    <x:row r="105">
      <x:c r="A105" s="31" t="str">
        <x:v>ARC-0098</x:v>
      </x:c>
      <x:c r="B105" s="31" t="str">
        <x:v>P2</x:v>
      </x:c>
      <x:c r="C105" s="31" t="str">
        <x:v>NO</x:v>
      </x:c>
      <x:c r="D105" s="31" t="str">
        <x:v>VALUE_MISMATCH</x:v>
      </x:c>
      <x:c r="E105" s="31" t="str">
        <x:v>EXACT_NORMALIZED_NAME</x:v>
      </x:c>
      <x:c r="F105" s="31" t="str">
        <x:v>109</x:v>
      </x:c>
      <x:c r="G105" s="31" t="str">
        <x:v>Magus Anomaly</x:v>
      </x:c>
      <x:c r="H105" s="31" t="str">
        <x:v>Magus Anomaly</x:v>
      </x:c>
      <x:c r="I105" s="31" t="str">
        <x:v>/Lotus/Upgrades/CosmeticEnhancers/OperatorArmour/PullOnTransferenceIn</x:v>
      </x:c>
      <x:c r="J105" s="31" t="str">
        <x:v>VALID</x:v>
      </x:c>
      <x:c r="K105" s="31" t="str">
        <x:v>unique_name, equipment_type, introduced_update, effect_text</x:v>
      </x:c>
      <x:c r="L105" s="62" t="str">
        <x:v>unique_name: Gu=∅ | WFCD=/Lotus/Upgrades/CosmeticEnhancers/OperatorArmour/PullOnTransferenceIn | reason=MISSING_OR_DIFFERENT_STABLE_ID
equipment_type: Gu=∅ | WFCD=Operator Arcane | legacy_subcategory=Magus; reason=EQUIPMENT_COMPATIBILITY_IS_SEPARATE_FROM_LEGACY_SUBCATEGORY
introduced_update: Gu=22.0 | WFCD=Update 24.2
effect_text: Gu=Summon a vortex that draws enemies in for 6s | WFCD=On Transference In:\nEnemies within 30m are pulled towards Warframe.  | comparison=HEURISTIC_TEXT_ONLY</x:v>
      </x:c>
      <x:c r="M105" s="62" t="str">
        <x:v>Batch-review the exact-name identity and provenance fields; no game launch is expected.</x:v>
      </x:c>
      <x:c r="N105" s="62" t="str">
        <x:v>Pinned WFCD payload and current Gu row.</x:v>
      </x:c>
      <x:c r="O105" s="31" t="str">
        <x:v>NOT_STARTED</x:v>
      </x:c>
      <x:c r="P105" s="31" t="str"/>
      <x:c r="Q105" s="31" t="str">
        <x:v>Magus Anomaly</x:v>
      </x:c>
      <x:c r="R105" s="31" t="str">
        <x:v>/Lotus/Upgrades/CosmeticEnhancers/OperatorArmour/PullOnTransferenceIn</x:v>
      </x:c>
      <x:c r="S105" s="62" t="str"/>
      <x:c r="T105" s="62" t="str"/>
      <x:c r="U105" s="31" t="str"/>
      <x:c r="V105" s="65"/>
      <x:c r="W105" s="31" t="str">
        <x:f>IF(AND(O105="COMPLETE",P105&lt;&gt;"",P105&lt;&gt;"DEFER"),"YES","NO")</x:f>
        <x:v>NO</x:v>
      </x:c>
      <x:c r="X105" s="31" t="str">
        <x:v>https://raw.githubusercontent.com/WFCD/warframe-items/f7c69c0786611df81214cabf588160d7af9cc80c/data/json/Arcanes.json</x:v>
      </x:c>
      <x:c r="Y105" s="31" t="str">
        <x:v>f40d0d19-c224-47f8-9ef2-c225f42e91d0</x:v>
      </x:c>
    </x:row>
    <x:row r="106">
      <x:c r="A106" s="31" t="str">
        <x:v>ARC-0099</x:v>
      </x:c>
      <x:c r="B106" s="31" t="str">
        <x:v>P2</x:v>
      </x:c>
      <x:c r="C106" s="31" t="str">
        <x:v>NO</x:v>
      </x:c>
      <x:c r="D106" s="31" t="str">
        <x:v>VALUE_MISMATCH</x:v>
      </x:c>
      <x:c r="E106" s="31" t="str">
        <x:v>EXACT_NORMALIZED_NAME</x:v>
      </x:c>
      <x:c r="F106" s="31" t="str">
        <x:v>34</x:v>
      </x:c>
      <x:c r="G106" s="31" t="str">
        <x:v>Magus Cadence</x:v>
      </x:c>
      <x:c r="H106" s="31" t="str">
        <x:v>Magus Cadence</x:v>
      </x:c>
      <x:c r="I106" s="31" t="str">
        <x:v>/Lotus/Upgrades/CosmeticEnhancers/OperatorArmour/SpeedOnVoidDash</x:v>
      </x:c>
      <x:c r="J106" s="31" t="str">
        <x:v>VALID</x:v>
      </x:c>
      <x:c r="K106" s="31" t="str">
        <x:v>unique_name, equipment_type, introduced_update, tradable, effect_text</x:v>
      </x:c>
      <x:c r="L106" s="62" t="str">
        <x:v>unique_name: Gu=∅ | WFCD=/Lotus/Upgrades/CosmeticEnhancers/OperatorArmour/SpeedOnVoidDash | reason=MISSING_OR_DIFFERENT_STABLE_ID
equipment_type: Gu=∅ | WFCD=Operator Arcane | legacy_subcategory=; reason=EQUIPMENT_COMPATIBILITY_IS_SEPARATE_FROM_LEGACY_SUBCATEGORY
introduced_update: Gu=∅ | WFCD=Update 22.0
tradable: Gu=false | WFCD=true
effect_text: Gu=∅ | WFCD=On Void Sling:\n+90% Sprint Speed for 12s | comparison=HEURISTIC_TEXT_ONLY</x:v>
      </x:c>
      <x:c r="M106" s="62" t="str">
        <x:v>Batch-review the exact-name identity and provenance fields; no game launch is expected.</x:v>
      </x:c>
      <x:c r="N106" s="62" t="str">
        <x:v>Pinned WFCD payload and current Gu row.</x:v>
      </x:c>
      <x:c r="O106" s="31" t="str">
        <x:v>NOT_STARTED</x:v>
      </x:c>
      <x:c r="P106" s="31" t="str"/>
      <x:c r="Q106" s="31" t="str">
        <x:v>Magus Cadence</x:v>
      </x:c>
      <x:c r="R106" s="31" t="str">
        <x:v>/Lotus/Upgrades/CosmeticEnhancers/OperatorArmour/SpeedOnVoidDash</x:v>
      </x:c>
      <x:c r="S106" s="62" t="str"/>
      <x:c r="T106" s="62" t="str"/>
      <x:c r="U106" s="31" t="str"/>
      <x:c r="V106" s="65"/>
      <x:c r="W106" s="31" t="str">
        <x:f>IF(AND(O106="COMPLETE",P106&lt;&gt;"",P106&lt;&gt;"DEFER"),"YES","NO")</x:f>
        <x:v>NO</x:v>
      </x:c>
      <x:c r="X106" s="31" t="str">
        <x:v>https://raw.githubusercontent.com/WFCD/warframe-items/f7c69c0786611df81214cabf588160d7af9cc80c/data/json/Arcanes.json</x:v>
      </x:c>
      <x:c r="Y106" s="31" t="str">
        <x:v>f40d0d19-c224-47f8-9ef2-c225f42e91d0</x:v>
      </x:c>
    </x:row>
    <x:row r="107">
      <x:c r="A107" s="31" t="str">
        <x:v>ARC-0100</x:v>
      </x:c>
      <x:c r="B107" s="31" t="str">
        <x:v>P2</x:v>
      </x:c>
      <x:c r="C107" s="31" t="str">
        <x:v>NO</x:v>
      </x:c>
      <x:c r="D107" s="31" t="str">
        <x:v>VALUE_MISMATCH</x:v>
      </x:c>
      <x:c r="E107" s="31" t="str">
        <x:v>EXACT_NORMALIZED_NAME</x:v>
      </x:c>
      <x:c r="F107" s="31" t="str">
        <x:v>33</x:v>
      </x:c>
      <x:c r="G107" s="31" t="str">
        <x:v>Magus Cloud</x:v>
      </x:c>
      <x:c r="H107" s="31" t="str">
        <x:v>Magus Cloud</x:v>
      </x:c>
      <x:c r="I107" s="31" t="str">
        <x:v>/Lotus/Upgrades/CosmeticEnhancers/OperatorArmour/ImmunityFallDamageOnVoidDash</x:v>
      </x:c>
      <x:c r="J107" s="31" t="str">
        <x:v>VALID</x:v>
      </x:c>
      <x:c r="K107" s="31" t="str">
        <x:v>unique_name, equipment_type, introduced_update, effect_text</x:v>
      </x:c>
      <x:c r="L107" s="62" t="str">
        <x:v>unique_name: Gu=∅ | WFCD=/Lotus/Upgrades/CosmeticEnhancers/OperatorArmour/ImmunityFallDamageOnVoidDash | reason=MISSING_OR_DIFFERENT_STABLE_ID
equipment_type: Gu=∅ | WFCD=Operator Arcane | legacy_subcategory=Magus; reason=EQUIPMENT_COMPATIBILITY_IS_SEPARATE_FROM_LEGACY_SUBCATEGORY
introduced_update: Gu=22.0 | WFCD=Update 22.0
effect_text: Gu=Leave a Cold cloud at dash origin point | WFCD=On Void Mode:\n+300% Void Sling Radius for 6s | comparison=HEURISTIC_TEXT_ONLY</x:v>
      </x:c>
      <x:c r="M107" s="62" t="str">
        <x:v>Batch-review the exact-name identity and provenance fields; no game launch is expected.</x:v>
      </x:c>
      <x:c r="N107" s="62" t="str">
        <x:v>Pinned WFCD payload and current Gu row.</x:v>
      </x:c>
      <x:c r="O107" s="31" t="str">
        <x:v>NOT_STARTED</x:v>
      </x:c>
      <x:c r="P107" s="31" t="str"/>
      <x:c r="Q107" s="31" t="str">
        <x:v>Magus Cloud</x:v>
      </x:c>
      <x:c r="R107" s="31" t="str">
        <x:v>/Lotus/Upgrades/CosmeticEnhancers/OperatorArmour/ImmunityFallDamageOnVoidDash</x:v>
      </x:c>
      <x:c r="S107" s="62" t="str"/>
      <x:c r="T107" s="62" t="str"/>
      <x:c r="U107" s="31" t="str"/>
      <x:c r="V107" s="65"/>
      <x:c r="W107" s="31" t="str">
        <x:f>IF(AND(O107="COMPLETE",P107&lt;&gt;"",P107&lt;&gt;"DEFER"),"YES","NO")</x:f>
        <x:v>NO</x:v>
      </x:c>
      <x:c r="X107" s="31" t="str">
        <x:v>https://raw.githubusercontent.com/WFCD/warframe-items/f7c69c0786611df81214cabf588160d7af9cc80c/data/json/Arcanes.json</x:v>
      </x:c>
      <x:c r="Y107" s="31" t="str">
        <x:v>f40d0d19-c224-47f8-9ef2-c225f42e91d0</x:v>
      </x:c>
    </x:row>
    <x:row r="108">
      <x:c r="A108" s="31" t="str">
        <x:v>ARC-0101</x:v>
      </x:c>
      <x:c r="B108" s="31" t="str">
        <x:v>P2</x:v>
      </x:c>
      <x:c r="C108" s="31" t="str">
        <x:v>NO</x:v>
      </x:c>
      <x:c r="D108" s="31" t="str">
        <x:v>VALUE_MISMATCH</x:v>
      </x:c>
      <x:c r="E108" s="31" t="str">
        <x:v>EXACT_NORMALIZED_NAME</x:v>
      </x:c>
      <x:c r="F108" s="31" t="str">
        <x:v>409</x:v>
      </x:c>
      <x:c r="G108" s="31" t="str">
        <x:v>Magus Destruct</x:v>
      </x:c>
      <x:c r="H108" s="31" t="str">
        <x:v>Magus Destruct</x:v>
      </x:c>
      <x:c r="I108" s="31" t="str">
        <x:v>/Lotus/Upgrades/CosmeticEnhancers/OperatorArmour/ProcResistOnBlast</x:v>
      </x:c>
      <x:c r="J108" s="31" t="str">
        <x:v>VALID</x:v>
      </x:c>
      <x:c r="K108" s="31" t="str">
        <x:v>unique_name, equipment_type, introduced_update, effect_text</x:v>
      </x:c>
      <x:c r="L108" s="62" t="str">
        <x:v>unique_name: Gu=∅ | WFCD=/Lotus/Upgrades/CosmeticEnhancers/OperatorArmour/ProcResistOnBlast | reason=MISSING_OR_DIFFERENT_STABLE_ID
equipment_type: Gu=∅ | WFCD=Operator Arcane | legacy_subcategory=; reason=EQUIPMENT_COMPATIBILITY_IS_SEPARATE_FROM_LEGACY_SUBCATEGORY
introduced_update: Gu=∅ | WFCD=Update 24.2
effect_text: Gu=∅ | WFCD=On Void Sling:\nReduce Enemy Resistance to &lt;DT_PUNCTURE_COLOR&gt;Puncture Damage by 65%. | comparison=HEURISTIC_TEXT_ONLY</x:v>
      </x:c>
      <x:c r="M108" s="62" t="str">
        <x:v>Batch-review the exact-name identity and provenance fields; no game launch is expected.</x:v>
      </x:c>
      <x:c r="N108" s="62" t="str">
        <x:v>Pinned WFCD payload and current Gu row.</x:v>
      </x:c>
      <x:c r="O108" s="31" t="str">
        <x:v>NOT_STARTED</x:v>
      </x:c>
      <x:c r="P108" s="31" t="str"/>
      <x:c r="Q108" s="31" t="str">
        <x:v>Magus Destruct</x:v>
      </x:c>
      <x:c r="R108" s="31" t="str">
        <x:v>/Lotus/Upgrades/CosmeticEnhancers/OperatorArmour/ProcResistOnBlast</x:v>
      </x:c>
      <x:c r="S108" s="62" t="str"/>
      <x:c r="T108" s="62" t="str"/>
      <x:c r="U108" s="31" t="str"/>
      <x:c r="V108" s="65"/>
      <x:c r="W108" s="31" t="str">
        <x:f>IF(AND(O108="COMPLETE",P108&lt;&gt;"",P108&lt;&gt;"DEFER"),"YES","NO")</x:f>
        <x:v>NO</x:v>
      </x:c>
      <x:c r="X108" s="31" t="str">
        <x:v>https://raw.githubusercontent.com/WFCD/warframe-items/f7c69c0786611df81214cabf588160d7af9cc80c/data/json/Arcanes.json</x:v>
      </x:c>
      <x:c r="Y108" s="31" t="str">
        <x:v>f40d0d19-c224-47f8-9ef2-c225f42e91d0</x:v>
      </x:c>
    </x:row>
    <x:row r="109">
      <x:c r="A109" s="31" t="str">
        <x:v>ARC-0102</x:v>
      </x:c>
      <x:c r="B109" s="31" t="str">
        <x:v>P2</x:v>
      </x:c>
      <x:c r="C109" s="31" t="str">
        <x:v>NO</x:v>
      </x:c>
      <x:c r="D109" s="31" t="str">
        <x:v>VALUE_MISMATCH</x:v>
      </x:c>
      <x:c r="E109" s="31" t="str">
        <x:v>EXACT_NORMALIZED_NAME</x:v>
      </x:c>
      <x:c r="F109" s="31" t="str">
        <x:v>410</x:v>
      </x:c>
      <x:c r="G109" s="31" t="str">
        <x:v>Magus Drive</x:v>
      </x:c>
      <x:c r="H109" s="31" t="str">
        <x:v>Magus Drive</x:v>
      </x:c>
      <x:c r="I109" s="31" t="str">
        <x:v>/Lotus/Upgrades/CosmeticEnhancers/OperatorArmour/HoverboardSpeedOnTransferenceIn</x:v>
      </x:c>
      <x:c r="J109" s="31" t="str">
        <x:v>VALID</x:v>
      </x:c>
      <x:c r="K109" s="31" t="str">
        <x:v>unique_name, equipment_type, introduced_update, effect_text</x:v>
      </x:c>
      <x:c r="L109" s="62" t="str">
        <x:v>unique_name: Gu=∅ | WFCD=/Lotus/Upgrades/CosmeticEnhancers/OperatorArmour/HoverboardSpeedOnTransferenceIn | reason=MISSING_OR_DIFFERENT_STABLE_ID
equipment_type: Gu=∅ | WFCD=Operator Arcane | legacy_subcategory=; reason=EQUIPMENT_COMPATIBILITY_IS_SEPARATE_FROM_LEGACY_SUBCATEGORY
introduced_update: Gu=∅ | WFCD=Update 24.2
effect_text: Gu=∅ | WFCD=On Transference In:\nIncrease K-Drive Speed by 150% for 30s. | comparison=HEURISTIC_TEXT_ONLY</x:v>
      </x:c>
      <x:c r="M109" s="62" t="str">
        <x:v>Batch-review the exact-name identity and provenance fields; no game launch is expected.</x:v>
      </x:c>
      <x:c r="N109" s="62" t="str">
        <x:v>Pinned WFCD payload and current Gu row.</x:v>
      </x:c>
      <x:c r="O109" s="31" t="str">
        <x:v>NOT_STARTED</x:v>
      </x:c>
      <x:c r="P109" s="31" t="str"/>
      <x:c r="Q109" s="31" t="str">
        <x:v>Magus Drive</x:v>
      </x:c>
      <x:c r="R109" s="31" t="str">
        <x:v>/Lotus/Upgrades/CosmeticEnhancers/OperatorArmour/HoverboardSpeedOnTransferenceIn</x:v>
      </x:c>
      <x:c r="S109" s="62" t="str"/>
      <x:c r="T109" s="62" t="str"/>
      <x:c r="U109" s="31" t="str"/>
      <x:c r="V109" s="65"/>
      <x:c r="W109" s="31" t="str">
        <x:f>IF(AND(O109="COMPLETE",P109&lt;&gt;"",P109&lt;&gt;"DEFER"),"YES","NO")</x:f>
        <x:v>NO</x:v>
      </x:c>
      <x:c r="X109" s="31" t="str">
        <x:v>https://raw.githubusercontent.com/WFCD/warframe-items/f7c69c0786611df81214cabf588160d7af9cc80c/data/json/Arcanes.json</x:v>
      </x:c>
      <x:c r="Y109" s="31" t="str">
        <x:v>f40d0d19-c224-47f8-9ef2-c225f42e91d0</x:v>
      </x:c>
    </x:row>
    <x:row r="110">
      <x:c r="A110" s="31" t="str">
        <x:v>ARC-0103</x:v>
      </x:c>
      <x:c r="B110" s="31" t="str">
        <x:v>P2</x:v>
      </x:c>
      <x:c r="C110" s="31" t="str">
        <x:v>NO</x:v>
      </x:c>
      <x:c r="D110" s="31" t="str">
        <x:v>VALUE_MISMATCH</x:v>
      </x:c>
      <x:c r="E110" s="31" t="str">
        <x:v>EXACT_NORMALIZED_NAME</x:v>
      </x:c>
      <x:c r="F110" s="31" t="str">
        <x:v>36</x:v>
      </x:c>
      <x:c r="G110" s="31" t="str">
        <x:v>Magus Elevate</x:v>
      </x:c>
      <x:c r="H110" s="31" t="str">
        <x:v>Magus Elevate</x:v>
      </x:c>
      <x:c r="I110" s="31" t="str">
        <x:v>/Lotus/Upgrades/CosmeticEnhancers/OperatorArmour/HealOnTransferenceIn</x:v>
      </x:c>
      <x:c r="J110" s="31" t="str">
        <x:v>VALID</x:v>
      </x:c>
      <x:c r="K110" s="31" t="str">
        <x:v>unique_name, equipment_type, introduced_update, effect_text</x:v>
      </x:c>
      <x:c r="L110" s="62" t="str">
        <x:v>unique_name: Gu=∅ | WFCD=/Lotus/Upgrades/CosmeticEnhancers/OperatorArmour/HealOnTransferenceIn | reason=MISSING_OR_DIFFERENT_STABLE_ID
equipment_type: Gu=∅ | WFCD=Operator Arcane | legacy_subcategory=Magus; reason=EQUIPMENT_COMPATIBILITY_IS_SEPARATE_FROM_LEGACY_SUBCATEGORY
introduced_update: Gu=22.0 | WFCD=Update 22.0
effect_text: Gu=Restore 150 HP to Warframe on Transference-in | WFCD=On Transference In:\n95% chance to restore 300 Health to Warframe | comparison=HEURISTIC_TEXT_ONLY</x:v>
      </x:c>
      <x:c r="M110" s="62" t="str">
        <x:v>Batch-review the exact-name identity and provenance fields; no game launch is expected.</x:v>
      </x:c>
      <x:c r="N110" s="62" t="str">
        <x:v>Pinned WFCD payload and current Gu row.</x:v>
      </x:c>
      <x:c r="O110" s="31" t="str">
        <x:v>NOT_STARTED</x:v>
      </x:c>
      <x:c r="P110" s="31" t="str"/>
      <x:c r="Q110" s="31" t="str">
        <x:v>Magus Elevate</x:v>
      </x:c>
      <x:c r="R110" s="31" t="str">
        <x:v>/Lotus/Upgrades/CosmeticEnhancers/OperatorArmour/HealOnTransferenceIn</x:v>
      </x:c>
      <x:c r="S110" s="62" t="str"/>
      <x:c r="T110" s="62" t="str"/>
      <x:c r="U110" s="31" t="str"/>
      <x:c r="V110" s="65"/>
      <x:c r="W110" s="31" t="str">
        <x:f>IF(AND(O110="COMPLETE",P110&lt;&gt;"",P110&lt;&gt;"DEFER"),"YES","NO")</x:f>
        <x:v>NO</x:v>
      </x:c>
      <x:c r="X110" s="31" t="str">
        <x:v>https://raw.githubusercontent.com/WFCD/warframe-items/f7c69c0786611df81214cabf588160d7af9cc80c/data/json/Arcanes.json</x:v>
      </x:c>
      <x:c r="Y110" s="31" t="str">
        <x:v>f40d0d19-c224-47f8-9ef2-c225f42e91d0</x:v>
      </x:c>
    </x:row>
    <x:row r="111">
      <x:c r="A111" s="31" t="str">
        <x:v>ARC-0104</x:v>
      </x:c>
      <x:c r="B111" s="31" t="str">
        <x:v>P2</x:v>
      </x:c>
      <x:c r="C111" s="31" t="str">
        <x:v>NO</x:v>
      </x:c>
      <x:c r="D111" s="31" t="str">
        <x:v>VALUE_MISMATCH</x:v>
      </x:c>
      <x:c r="E111" s="31" t="str">
        <x:v>EXACT_NORMALIZED_NAME</x:v>
      </x:c>
      <x:c r="F111" s="31" t="str">
        <x:v>112</x:v>
      </x:c>
      <x:c r="G111" s="31" t="str">
        <x:v>Magus Firewall</x:v>
      </x:c>
      <x:c r="H111" s="31" t="str">
        <x:v>Magus Firewall</x:v>
      </x:c>
      <x:c r="I111" s="31" t="str">
        <x:v>/Lotus/Upgrades/CosmeticEnhancers/OperatorArmour/DamageReductionOnVoidMode</x:v>
      </x:c>
      <x:c r="J111" s="31" t="str">
        <x:v>VALID</x:v>
      </x:c>
      <x:c r="K111" s="31" t="str">
        <x:v>unique_name, equipment_type, introduced_update, effect_text</x:v>
      </x:c>
      <x:c r="L111" s="62" t="str">
        <x:v>unique_name: Gu=∅ | WFCD=/Lotus/Upgrades/CosmeticEnhancers/OperatorArmour/DamageReductionOnVoidMode | reason=MISSING_OR_DIFFERENT_STABLE_ID
equipment_type: Gu=∅ | WFCD=Operator Arcane | legacy_subcategory=Magus; reason=EQUIPMENT_COMPATIBILITY_IS_SEPARATE_FROM_LEGACY_SUBCATEGORY
introduced_update: Gu=22.0 | WFCD=Update 24.2
effect_text: Gu=Warframe gains 600 HP shield for 10s on Transference | WFCD=On Void Mode:\nGenerate Void Particles every 1s up to 6 particles, each granting 12.5% Damage Reduction for 60s. Taking damage consumes a particle. | comparison=HEURISTIC_TEXT_ONLY</x:v>
      </x:c>
      <x:c r="M111" s="62" t="str">
        <x:v>Batch-review the exact-name identity and provenance fields; no game launch is expected.</x:v>
      </x:c>
      <x:c r="N111" s="62" t="str">
        <x:v>Pinned WFCD payload and current Gu row.</x:v>
      </x:c>
      <x:c r="O111" s="31" t="str">
        <x:v>NOT_STARTED</x:v>
      </x:c>
      <x:c r="P111" s="31" t="str"/>
      <x:c r="Q111" s="31" t="str">
        <x:v>Magus Firewall</x:v>
      </x:c>
      <x:c r="R111" s="31" t="str">
        <x:v>/Lotus/Upgrades/CosmeticEnhancers/OperatorArmour/DamageReductionOnVoidMode</x:v>
      </x:c>
      <x:c r="S111" s="62" t="str"/>
      <x:c r="T111" s="62" t="str"/>
      <x:c r="U111" s="31" t="str"/>
      <x:c r="V111" s="65"/>
      <x:c r="W111" s="31" t="str">
        <x:f>IF(AND(O111="COMPLETE",P111&lt;&gt;"",P111&lt;&gt;"DEFER"),"YES","NO")</x:f>
        <x:v>NO</x:v>
      </x:c>
      <x:c r="X111" s="31" t="str">
        <x:v>https://raw.githubusercontent.com/WFCD/warframe-items/f7c69c0786611df81214cabf588160d7af9cc80c/data/json/Arcanes.json</x:v>
      </x:c>
      <x:c r="Y111" s="31" t="str">
        <x:v>f40d0d19-c224-47f8-9ef2-c225f42e91d0</x:v>
      </x:c>
    </x:row>
    <x:row r="112">
      <x:c r="A112" s="31" t="str">
        <x:v>ARC-0105</x:v>
      </x:c>
      <x:c r="B112" s="31" t="str">
        <x:v>P2</x:v>
      </x:c>
      <x:c r="C112" s="31" t="str">
        <x:v>NO</x:v>
      </x:c>
      <x:c r="D112" s="31" t="str">
        <x:v>VALUE_MISMATCH</x:v>
      </x:c>
      <x:c r="E112" s="31" t="str">
        <x:v>EXACT_NORMALIZED_NAME</x:v>
      </x:c>
      <x:c r="F112" s="31" t="str">
        <x:v>411</x:v>
      </x:c>
      <x:c r="G112" s="31" t="str">
        <x:v>Magus Glitch</x:v>
      </x:c>
      <x:c r="H112" s="31" t="str">
        <x:v>Magus Glitch</x:v>
      </x:c>
      <x:c r="I112" s="31" t="str">
        <x:v>/Lotus/Upgrades/CosmeticEnhancers/OperatorArmour/NoPenaltyOnDeath</x:v>
      </x:c>
      <x:c r="J112" s="31" t="str">
        <x:v>VALID</x:v>
      </x:c>
      <x:c r="K112" s="31" t="str">
        <x:v>unique_name, equipment_type, introduced_update, effect_text</x:v>
      </x:c>
      <x:c r="L112" s="62" t="str">
        <x:v>unique_name: Gu=∅ | WFCD=/Lotus/Upgrades/CosmeticEnhancers/OperatorArmour/NoPenaltyOnDeath | reason=MISSING_OR_DIFFERENT_STABLE_ID
equipment_type: Gu=∅ | WFCD=Operator Arcane | legacy_subcategory=; reason=EQUIPMENT_COMPATIBILITY_IS_SEPARATE_FROM_LEGACY_SUBCATEGORY
introduced_update: Gu=∅ | WFCD=Update 24.2
effect_text: Gu=∅ | WFCD=On Transference Static:\n102% chance to negate Transference Static. | comparison=HEURISTIC_TEXT_ONLY</x:v>
      </x:c>
      <x:c r="M112" s="62" t="str">
        <x:v>Batch-review the exact-name identity and provenance fields; no game launch is expected.</x:v>
      </x:c>
      <x:c r="N112" s="62" t="str">
        <x:v>Pinned WFCD payload and current Gu row.</x:v>
      </x:c>
      <x:c r="O112" s="31" t="str">
        <x:v>NOT_STARTED</x:v>
      </x:c>
      <x:c r="P112" s="31" t="str"/>
      <x:c r="Q112" s="31" t="str">
        <x:v>Magus Glitch</x:v>
      </x:c>
      <x:c r="R112" s="31" t="str">
        <x:v>/Lotus/Upgrades/CosmeticEnhancers/OperatorArmour/NoPenaltyOnDeath</x:v>
      </x:c>
      <x:c r="S112" s="62" t="str"/>
      <x:c r="T112" s="62" t="str"/>
      <x:c r="U112" s="31" t="str"/>
      <x:c r="V112" s="65"/>
      <x:c r="W112" s="31" t="str">
        <x:f>IF(AND(O112="COMPLETE",P112&lt;&gt;"",P112&lt;&gt;"DEFER"),"YES","NO")</x:f>
        <x:v>NO</x:v>
      </x:c>
      <x:c r="X112" s="31" t="str">
        <x:v>https://raw.githubusercontent.com/WFCD/warframe-items/f7c69c0786611df81214cabf588160d7af9cc80c/data/json/Arcanes.json</x:v>
      </x:c>
      <x:c r="Y112" s="31" t="str">
        <x:v>f40d0d19-c224-47f8-9ef2-c225f42e91d0</x:v>
      </x:c>
    </x:row>
    <x:row r="113">
      <x:c r="A113" s="31" t="str">
        <x:v>ARC-0106</x:v>
      </x:c>
      <x:c r="B113" s="31" t="str">
        <x:v>P2</x:v>
      </x:c>
      <x:c r="C113" s="31" t="str">
        <x:v>NO</x:v>
      </x:c>
      <x:c r="D113" s="31" t="str">
        <x:v>VALUE_MISMATCH</x:v>
      </x:c>
      <x:c r="E113" s="31" t="str">
        <x:v>EXACT_NORMALIZED_NAME</x:v>
      </x:c>
      <x:c r="F113" s="31" t="str">
        <x:v>32</x:v>
      </x:c>
      <x:c r="G113" s="31" t="str">
        <x:v>Magus Husk</x:v>
      </x:c>
      <x:c r="H113" s="31" t="str">
        <x:v>Magus Husk</x:v>
      </x:c>
      <x:c r="I113" s="31" t="str">
        <x:v>/Lotus/Upgrades/CosmeticEnhancers/OperatorArmour/ArmourOnOperatorMode</x:v>
      </x:c>
      <x:c r="J113" s="31" t="str">
        <x:v>VALID</x:v>
      </x:c>
      <x:c r="K113" s="31" t="str">
        <x:v>unique_name, equipment_type, introduced_update, effect_text</x:v>
      </x:c>
      <x:c r="L113" s="62" t="str">
        <x:v>unique_name: Gu=∅ | WFCD=/Lotus/Upgrades/CosmeticEnhancers/OperatorArmour/ArmourOnOperatorMode | reason=MISSING_OR_DIFFERENT_STABLE_ID
equipment_type: Gu=∅ | WFCD=Operator Arcane | legacy_subcategory=Magus; reason=EQUIPMENT_COMPATIBILITY_IS_SEPARATE_FROM_LEGACY_SUBCATEGORY
introduced_update: Gu=22.0 | WFCD=Update 22.0
effect_text: Gu=+300 Armor to Warframe while in Void Mode | WFCD=On Transference Out:\n+300 Armor | comparison=HEURISTIC_TEXT_ONLY</x:v>
      </x:c>
      <x:c r="M113" s="62" t="str">
        <x:v>Batch-review the exact-name identity and provenance fields; no game launch is expected.</x:v>
      </x:c>
      <x:c r="N113" s="62" t="str">
        <x:v>Pinned WFCD payload and current Gu row.</x:v>
      </x:c>
      <x:c r="O113" s="31" t="str">
        <x:v>NOT_STARTED</x:v>
      </x:c>
      <x:c r="P113" s="31" t="str"/>
      <x:c r="Q113" s="31" t="str">
        <x:v>Magus Husk</x:v>
      </x:c>
      <x:c r="R113" s="31" t="str">
        <x:v>/Lotus/Upgrades/CosmeticEnhancers/OperatorArmour/ArmourOnOperatorMode</x:v>
      </x:c>
      <x:c r="S113" s="62" t="str"/>
      <x:c r="T113" s="62" t="str"/>
      <x:c r="U113" s="31" t="str"/>
      <x:c r="V113" s="65"/>
      <x:c r="W113" s="31" t="str">
        <x:f>IF(AND(O113="COMPLETE",P113&lt;&gt;"",P113&lt;&gt;"DEFER"),"YES","NO")</x:f>
        <x:v>NO</x:v>
      </x:c>
      <x:c r="X113" s="31" t="str">
        <x:v>https://raw.githubusercontent.com/WFCD/warframe-items/f7c69c0786611df81214cabf588160d7af9cc80c/data/json/Arcanes.json</x:v>
      </x:c>
      <x:c r="Y113" s="31" t="str">
        <x:v>f40d0d19-c224-47f8-9ef2-c225f42e91d0</x:v>
      </x:c>
    </x:row>
    <x:row r="114">
      <x:c r="A114" s="31" t="str">
        <x:v>ARC-0107</x:v>
      </x:c>
      <x:c r="B114" s="31" t="str">
        <x:v>P2</x:v>
      </x:c>
      <x:c r="C114" s="31" t="str">
        <x:v>NO</x:v>
      </x:c>
      <x:c r="D114" s="31" t="str">
        <x:v>VALUE_MISMATCH</x:v>
      </x:c>
      <x:c r="E114" s="31" t="str">
        <x:v>EXACT_NORMALIZED_NAME</x:v>
      </x:c>
      <x:c r="F114" s="31" t="str">
        <x:v>114</x:v>
      </x:c>
      <x:c r="G114" s="31" t="str">
        <x:v>Magus Lockdown</x:v>
      </x:c>
      <x:c r="H114" s="31" t="str">
        <x:v>Magus Lockdown</x:v>
      </x:c>
      <x:c r="I114" s="31" t="str">
        <x:v>/Lotus/Upgrades/CosmeticEnhancers/OperatorArmour/TetherMineOnDash</x:v>
      </x:c>
      <x:c r="J114" s="31" t="str">
        <x:v>VALID</x:v>
      </x:c>
      <x:c r="K114" s="31" t="str">
        <x:v>unique_name, equipment_type, introduced_update, effect_text</x:v>
      </x:c>
      <x:c r="L114" s="62" t="str">
        <x:v>unique_name: Gu=∅ | WFCD=/Lotus/Upgrades/CosmeticEnhancers/OperatorArmour/TetherMineOnDash | reason=MISSING_OR_DIFFERENT_STABLE_ID
equipment_type: Gu=∅ | WFCD=Operator Arcane | legacy_subcategory=Magus; reason=EQUIPMENT_COMPATIBILITY_IS_SEPARATE_FROM_LEGACY_SUBCATEGORY
introduced_update: Gu=22.0 | WFCD=Update 24.2
effect_text: Gu=Spawn Void Chains that immobilize nearby enemies for 15s | WFCD=On Void Sling:\nDrop a mine that tethers up to 10 enemies in 15m for 4s. | comparison=HEURISTIC_TEXT_ONLY</x:v>
      </x:c>
      <x:c r="M114" s="62" t="str">
        <x:v>Batch-review the exact-name identity and provenance fields; no game launch is expected.</x:v>
      </x:c>
      <x:c r="N114" s="62" t="str">
        <x:v>Pinned WFCD payload and current Gu row.</x:v>
      </x:c>
      <x:c r="O114" s="31" t="str">
        <x:v>NOT_STARTED</x:v>
      </x:c>
      <x:c r="P114" s="31" t="str"/>
      <x:c r="Q114" s="31" t="str">
        <x:v>Magus Lockdown</x:v>
      </x:c>
      <x:c r="R114" s="31" t="str">
        <x:v>/Lotus/Upgrades/CosmeticEnhancers/OperatorArmour/TetherMineOnDash</x:v>
      </x:c>
      <x:c r="S114" s="62" t="str"/>
      <x:c r="T114" s="62" t="str"/>
      <x:c r="U114" s="31" t="str"/>
      <x:c r="V114" s="65"/>
      <x:c r="W114" s="31" t="str">
        <x:f>IF(AND(O114="COMPLETE",P114&lt;&gt;"",P114&lt;&gt;"DEFER"),"YES","NO")</x:f>
        <x:v>NO</x:v>
      </x:c>
      <x:c r="X114" s="31" t="str">
        <x:v>https://raw.githubusercontent.com/WFCD/warframe-items/f7c69c0786611df81214cabf588160d7af9cc80c/data/json/Arcanes.json</x:v>
      </x:c>
      <x:c r="Y114" s="31" t="str">
        <x:v>f40d0d19-c224-47f8-9ef2-c225f42e91d0</x:v>
      </x:c>
    </x:row>
    <x:row r="115">
      <x:c r="A115" s="31" t="str">
        <x:v>ARC-0108</x:v>
      </x:c>
      <x:c r="B115" s="31" t="str">
        <x:v>P2</x:v>
      </x:c>
      <x:c r="C115" s="31" t="str">
        <x:v>NO</x:v>
      </x:c>
      <x:c r="D115" s="31" t="str">
        <x:v>VALUE_MISMATCH</x:v>
      </x:c>
      <x:c r="E115" s="31" t="str">
        <x:v>EXACT_NORMALIZED_NAME</x:v>
      </x:c>
      <x:c r="F115" s="31" t="str">
        <x:v>115</x:v>
      </x:c>
      <x:c r="G115" s="31" t="str">
        <x:v>Magus Melt</x:v>
      </x:c>
      <x:c r="H115" s="31" t="str">
        <x:v>Magus Melt</x:v>
      </x:c>
      <x:c r="I115" s="31" t="str">
        <x:v>/Lotus/Upgrades/CosmeticEnhancers/OperatorArmour/HeatDamageOnDash</x:v>
      </x:c>
      <x:c r="J115" s="31" t="str">
        <x:v>VALID</x:v>
      </x:c>
      <x:c r="K115" s="31" t="str">
        <x:v>unique_name, equipment_type, introduced_update, effect_text</x:v>
      </x:c>
      <x:c r="L115" s="62" t="str">
        <x:v>unique_name: Gu=∅ | WFCD=/Lotus/Upgrades/CosmeticEnhancers/OperatorArmour/HeatDamageOnDash | reason=MISSING_OR_DIFFERENT_STABLE_ID
equipment_type: Gu=∅ | WFCD=Operator Arcane | legacy_subcategory=Magus; reason=EQUIPMENT_COMPATIBILITY_IS_SEPARATE_FROM_LEGACY_SUBCATEGORY
introduced_update: Gu=22.0 | WFCD=Update 24.2
effect_text: Gu=Chance to proc Heat on affected enemies | WFCD=On Void Sling:\nIncrease &lt;DT_FIRE_COLOR&gt;Heat Damage in Operator Mode by 30% for 15s, stacking up to 7x. | comparison=HEURISTIC_TEXT_ONLY</x:v>
      </x:c>
      <x:c r="M115" s="62" t="str">
        <x:v>Batch-review the exact-name identity and provenance fields; no game launch is expected.</x:v>
      </x:c>
      <x:c r="N115" s="62" t="str">
        <x:v>Pinned WFCD payload and current Gu row.</x:v>
      </x:c>
      <x:c r="O115" s="31" t="str">
        <x:v>NOT_STARTED</x:v>
      </x:c>
      <x:c r="P115" s="31" t="str"/>
      <x:c r="Q115" s="31" t="str">
        <x:v>Magus Melt</x:v>
      </x:c>
      <x:c r="R115" s="31" t="str">
        <x:v>/Lotus/Upgrades/CosmeticEnhancers/OperatorArmour/HeatDamageOnDash</x:v>
      </x:c>
      <x:c r="S115" s="62" t="str"/>
      <x:c r="T115" s="62" t="str"/>
      <x:c r="U115" s="31" t="str"/>
      <x:c r="V115" s="65"/>
      <x:c r="W115" s="31" t="str">
        <x:f>IF(AND(O115="COMPLETE",P115&lt;&gt;"",P115&lt;&gt;"DEFER"),"YES","NO")</x:f>
        <x:v>NO</x:v>
      </x:c>
      <x:c r="X115" s="31" t="str">
        <x:v>https://raw.githubusercontent.com/WFCD/warframe-items/f7c69c0786611df81214cabf588160d7af9cc80c/data/json/Arcanes.json</x:v>
      </x:c>
      <x:c r="Y115" s="31" t="str">
        <x:v>f40d0d19-c224-47f8-9ef2-c225f42e91d0</x:v>
      </x:c>
    </x:row>
    <x:row r="116">
      <x:c r="A116" s="31" t="str">
        <x:v>ARC-0109</x:v>
      </x:c>
      <x:c r="B116" s="31" t="str">
        <x:v>P2</x:v>
      </x:c>
      <x:c r="C116" s="31" t="str">
        <x:v>NO</x:v>
      </x:c>
      <x:c r="D116" s="31" t="str">
        <x:v>VALUE_MISMATCH</x:v>
      </x:c>
      <x:c r="E116" s="31" t="str">
        <x:v>EXACT_NORMALIZED_NAME</x:v>
      </x:c>
      <x:c r="F116" s="31" t="str">
        <x:v>37</x:v>
      </x:c>
      <x:c r="G116" s="31" t="str">
        <x:v>Magus Nourish</x:v>
      </x:c>
      <x:c r="H116" s="31" t="str">
        <x:v>Magus Nourish</x:v>
      </x:c>
      <x:c r="I116" s="31" t="str">
        <x:v>/Lotus/Upgrades/CosmeticEnhancers/OperatorArmour/HealOnTransferenceOut</x:v>
      </x:c>
      <x:c r="J116" s="31" t="str">
        <x:v>VALID</x:v>
      </x:c>
      <x:c r="K116" s="31" t="str">
        <x:v>unique_name, equipment_type, introduced_update, effect_text</x:v>
      </x:c>
      <x:c r="L116" s="62" t="str">
        <x:v>unique_name: Gu=∅ | WFCD=/Lotus/Upgrades/CosmeticEnhancers/OperatorArmour/HealOnTransferenceOut | reason=MISSING_OR_DIFFERENT_STABLE_ID
equipment_type: Gu=∅ | WFCD=Operator Arcane | legacy_subcategory=Magus; reason=EQUIPMENT_COMPATIBILITY_IS_SEPARATE_FROM_LEGACY_SUBCATEGORY
introduced_update: Gu=22.0 | WFCD=Update 22.0
effect_text: Gu=Restore 150 Energy to Warframe on Transference-in | WFCD=While An Operator:\nRestores 35 Health/s to Warframe. | comparison=HEURISTIC_TEXT_ONLY</x:v>
      </x:c>
      <x:c r="M116" s="62" t="str">
        <x:v>Batch-review the exact-name identity and provenance fields; no game launch is expected.</x:v>
      </x:c>
      <x:c r="N116" s="62" t="str">
        <x:v>Pinned WFCD payload and current Gu row.</x:v>
      </x:c>
      <x:c r="O116" s="31" t="str">
        <x:v>NOT_STARTED</x:v>
      </x:c>
      <x:c r="P116" s="31" t="str"/>
      <x:c r="Q116" s="31" t="str">
        <x:v>Magus Nourish</x:v>
      </x:c>
      <x:c r="R116" s="31" t="str">
        <x:v>/Lotus/Upgrades/CosmeticEnhancers/OperatorArmour/HealOnTransferenceOut</x:v>
      </x:c>
      <x:c r="S116" s="62" t="str"/>
      <x:c r="T116" s="62" t="str"/>
      <x:c r="U116" s="31" t="str"/>
      <x:c r="V116" s="65"/>
      <x:c r="W116" s="31" t="str">
        <x:f>IF(AND(O116="COMPLETE",P116&lt;&gt;"",P116&lt;&gt;"DEFER"),"YES","NO")</x:f>
        <x:v>NO</x:v>
      </x:c>
      <x:c r="X116" s="31" t="str">
        <x:v>https://raw.githubusercontent.com/WFCD/warframe-items/f7c69c0786611df81214cabf588160d7af9cc80c/data/json/Arcanes.json</x:v>
      </x:c>
      <x:c r="Y116" s="31" t="str">
        <x:v>f40d0d19-c224-47f8-9ef2-c225f42e91d0</x:v>
      </x:c>
    </x:row>
    <x:row r="117">
      <x:c r="A117" s="31" t="str">
        <x:v>ARC-0110</x:v>
      </x:c>
      <x:c r="B117" s="31" t="str">
        <x:v>P2</x:v>
      </x:c>
      <x:c r="C117" s="31" t="str">
        <x:v>NO</x:v>
      </x:c>
      <x:c r="D117" s="31" t="str">
        <x:v>VALUE_MISMATCH</x:v>
      </x:c>
      <x:c r="E117" s="31" t="str">
        <x:v>EXACT_NORMALIZED_NAME</x:v>
      </x:c>
      <x:c r="F117" s="31" t="str">
        <x:v>117</x:v>
      </x:c>
      <x:c r="G117" s="31" t="str">
        <x:v>Magus Overload</x:v>
      </x:c>
      <x:c r="H117" s="31" t="str">
        <x:v>Magus Overload</x:v>
      </x:c>
      <x:c r="I117" s="31" t="str">
        <x:v>/Lotus/Upgrades/CosmeticEnhancers/OperatorArmour/RobotStunOnBlast</x:v>
      </x:c>
      <x:c r="J117" s="31" t="str">
        <x:v>VALID</x:v>
      </x:c>
      <x:c r="K117" s="31" t="str">
        <x:v>unique_name, equipment_type, introduced_update, effect_text</x:v>
      </x:c>
      <x:c r="L117" s="62" t="str">
        <x:v>unique_name: Gu=∅ | WFCD=/Lotus/Upgrades/CosmeticEnhancers/OperatorArmour/RobotStunOnBlast | reason=MISSING_OR_DIFFERENT_STABLE_ID
equipment_type: Gu=∅ | WFCD=Operator Arcane | legacy_subcategory=Magus; reason=EQUIPMENT_COMPATIBILITY_IS_SEPARATE_FROM_LEGACY_SUBCATEGORY
introduced_update: Gu=22.0 | WFCD=Update 24.2
effect_text: Gu=Proc Electricity burst from hacked consoles | WFCD=On Void Sling:\nStun robotic enemies for 3s, which then discharge &lt;DT_ELECTRICITY_COLOR&gt;Electricity Damage dealing 80% of their Max Health to anyone within 25m. | comparison=HEURISTIC_TEXT_ONLY</x:v>
      </x:c>
      <x:c r="M117" s="62" t="str">
        <x:v>Batch-review the exact-name identity and provenance fields; no game launch is expected.</x:v>
      </x:c>
      <x:c r="N117" s="62" t="str">
        <x:v>Pinned WFCD payload and current Gu row.</x:v>
      </x:c>
      <x:c r="O117" s="31" t="str">
        <x:v>NOT_STARTED</x:v>
      </x:c>
      <x:c r="P117" s="31" t="str"/>
      <x:c r="Q117" s="31" t="str">
        <x:v>Magus Overload</x:v>
      </x:c>
      <x:c r="R117" s="31" t="str">
        <x:v>/Lotus/Upgrades/CosmeticEnhancers/OperatorArmour/RobotStunOnBlast</x:v>
      </x:c>
      <x:c r="S117" s="62" t="str"/>
      <x:c r="T117" s="62" t="str"/>
      <x:c r="U117" s="31" t="str"/>
      <x:c r="V117" s="65"/>
      <x:c r="W117" s="31" t="str">
        <x:f>IF(AND(O117="COMPLETE",P117&lt;&gt;"",P117&lt;&gt;"DEFER"),"YES","NO")</x:f>
        <x:v>NO</x:v>
      </x:c>
      <x:c r="X117" s="31" t="str">
        <x:v>https://raw.githubusercontent.com/WFCD/warframe-items/f7c69c0786611df81214cabf588160d7af9cc80c/data/json/Arcanes.json</x:v>
      </x:c>
      <x:c r="Y117" s="31" t="str">
        <x:v>f40d0d19-c224-47f8-9ef2-c225f42e91d0</x:v>
      </x:c>
    </x:row>
    <x:row r="118">
      <x:c r="A118" s="31" t="str">
        <x:v>ARC-0111</x:v>
      </x:c>
      <x:c r="B118" s="31" t="str">
        <x:v>P2</x:v>
      </x:c>
      <x:c r="C118" s="31" t="str">
        <x:v>NO</x:v>
      </x:c>
      <x:c r="D118" s="31" t="str">
        <x:v>VALUE_MISMATCH</x:v>
      </x:c>
      <x:c r="E118" s="31" t="str">
        <x:v>EXACT_NORMALIZED_NAME</x:v>
      </x:c>
      <x:c r="F118" s="31" t="str">
        <x:v>407</x:v>
      </x:c>
      <x:c r="G118" s="31" t="str">
        <x:v>Magus Repair</x:v>
      </x:c>
      <x:c r="H118" s="31" t="str">
        <x:v>Magus Repair</x:v>
      </x:c>
      <x:c r="I118" s="31" t="str">
        <x:v>/Lotus/Upgrades/CosmeticEnhancers/OperatorArmour/HealOnVoidMode</x:v>
      </x:c>
      <x:c r="J118" s="31" t="str">
        <x:v>VALID</x:v>
      </x:c>
      <x:c r="K118" s="31" t="str">
        <x:v>unique_name, equipment_type, introduced_update, effect_text</x:v>
      </x:c>
      <x:c r="L118" s="62" t="str">
        <x:v>unique_name: Gu=∅ | WFCD=/Lotus/Upgrades/CosmeticEnhancers/OperatorArmour/HealOnVoidMode | reason=MISSING_OR_DIFFERENT_STABLE_ID
equipment_type: Gu=∅ | WFCD=Operator Arcane | legacy_subcategory=; reason=EQUIPMENT_COMPATIBILITY_IS_SEPARATE_FROM_LEGACY_SUBCATEGORY
introduced_update: Gu=∅ | WFCD=Update 24.2
effect_text: Gu=∅ | WFCD=On Void Mode:\nHeal Warframes within 30m by 25% Health/s. | comparison=HEURISTIC_TEXT_ONLY</x:v>
      </x:c>
      <x:c r="M118" s="62" t="str">
        <x:v>Batch-review the exact-name identity and provenance fields; no game launch is expected.</x:v>
      </x:c>
      <x:c r="N118" s="62" t="str">
        <x:v>Pinned WFCD payload and current Gu row.</x:v>
      </x:c>
      <x:c r="O118" s="31" t="str">
        <x:v>NOT_STARTED</x:v>
      </x:c>
      <x:c r="P118" s="31" t="str"/>
      <x:c r="Q118" s="31" t="str">
        <x:v>Magus Repair</x:v>
      </x:c>
      <x:c r="R118" s="31" t="str">
        <x:v>/Lotus/Upgrades/CosmeticEnhancers/OperatorArmour/HealOnVoidMode</x:v>
      </x:c>
      <x:c r="S118" s="62" t="str"/>
      <x:c r="T118" s="62" t="str"/>
      <x:c r="U118" s="31" t="str"/>
      <x:c r="V118" s="65"/>
      <x:c r="W118" s="31" t="str">
        <x:f>IF(AND(O118="COMPLETE",P118&lt;&gt;"",P118&lt;&gt;"DEFER"),"YES","NO")</x:f>
        <x:v>NO</x:v>
      </x:c>
      <x:c r="X118" s="31" t="str">
        <x:v>https://raw.githubusercontent.com/WFCD/warframe-items/f7c69c0786611df81214cabf588160d7af9cc80c/data/json/Arcanes.json</x:v>
      </x:c>
      <x:c r="Y118" s="31" t="str">
        <x:v>f40d0d19-c224-47f8-9ef2-c225f42e91d0</x:v>
      </x:c>
    </x:row>
    <x:row r="119">
      <x:c r="A119" s="31" t="str">
        <x:v>ARC-0112</x:v>
      </x:c>
      <x:c r="B119" s="31" t="str">
        <x:v>P2</x:v>
      </x:c>
      <x:c r="C119" s="31" t="str">
        <x:v>NO</x:v>
      </x:c>
      <x:c r="D119" s="31" t="str">
        <x:v>VALUE_MISMATCH</x:v>
      </x:c>
      <x:c r="E119" s="31" t="str">
        <x:v>EXACT_NORMALIZED_NAME</x:v>
      </x:c>
      <x:c r="F119" s="31" t="str">
        <x:v>35</x:v>
      </x:c>
      <x:c r="G119" s="31" t="str">
        <x:v>Magus Replenish</x:v>
      </x:c>
      <x:c r="H119" s="31" t="str">
        <x:v>Magus Replenish</x:v>
      </x:c>
      <x:c r="I119" s="31" t="str">
        <x:v>/Lotus/Upgrades/CosmeticEnhancers/OperatorArmour/HealOnVoidDash</x:v>
      </x:c>
      <x:c r="J119" s="31" t="str">
        <x:v>VALID</x:v>
      </x:c>
      <x:c r="K119" s="31" t="str">
        <x:v>unique_name, equipment_type, introduced_update, effect_text</x:v>
      </x:c>
      <x:c r="L119" s="62" t="str">
        <x:v>unique_name: Gu=∅ | WFCD=/Lotus/Upgrades/CosmeticEnhancers/OperatorArmour/HealOnVoidDash | reason=MISSING_OR_DIFFERENT_STABLE_ID
equipment_type: Gu=∅ | WFCD=Operator Arcane | legacy_subcategory=Magus; reason=EQUIPMENT_COMPATIBILITY_IS_SEPARATE_FROM_LEGACY_SUBCATEGORY
introduced_update: Gu=22.0 | WFCD=Update 22.0
effect_text: Gu=Restore 150 Shields to Warframe on Void Mode exit | WFCD=On Void Sling:\nHeal 30% Health | comparison=HEURISTIC_TEXT_ONLY</x:v>
      </x:c>
      <x:c r="M119" s="62" t="str">
        <x:v>Batch-review the exact-name identity and provenance fields; no game launch is expected.</x:v>
      </x:c>
      <x:c r="N119" s="62" t="str">
        <x:v>Pinned WFCD payload and current Gu row.</x:v>
      </x:c>
      <x:c r="O119" s="31" t="str">
        <x:v>NOT_STARTED</x:v>
      </x:c>
      <x:c r="P119" s="31" t="str"/>
      <x:c r="Q119" s="31" t="str">
        <x:v>Magus Replenish</x:v>
      </x:c>
      <x:c r="R119" s="31" t="str">
        <x:v>/Lotus/Upgrades/CosmeticEnhancers/OperatorArmour/HealOnVoidDash</x:v>
      </x:c>
      <x:c r="S119" s="62" t="str"/>
      <x:c r="T119" s="62" t="str"/>
      <x:c r="U119" s="31" t="str"/>
      <x:c r="V119" s="65"/>
      <x:c r="W119" s="31" t="str">
        <x:f>IF(AND(O119="COMPLETE",P119&lt;&gt;"",P119&lt;&gt;"DEFER"),"YES","NO")</x:f>
        <x:v>NO</x:v>
      </x:c>
      <x:c r="X119" s="31" t="str">
        <x:v>https://raw.githubusercontent.com/WFCD/warframe-items/f7c69c0786611df81214cabf588160d7af9cc80c/data/json/Arcanes.json</x:v>
      </x:c>
      <x:c r="Y119" s="31" t="str">
        <x:v>f40d0d19-c224-47f8-9ef2-c225f42e91d0</x:v>
      </x:c>
    </x:row>
    <x:row r="120">
      <x:c r="A120" s="31" t="str">
        <x:v>ARC-0113</x:v>
      </x:c>
      <x:c r="B120" s="31" t="str">
        <x:v>P2</x:v>
      </x:c>
      <x:c r="C120" s="31" t="str">
        <x:v>NO</x:v>
      </x:c>
      <x:c r="D120" s="31" t="str">
        <x:v>VALUE_MISMATCH</x:v>
      </x:c>
      <x:c r="E120" s="31" t="str">
        <x:v>EXACT_NORMALIZED_NAME</x:v>
      </x:c>
      <x:c r="F120" s="31" t="str">
        <x:v>412</x:v>
      </x:c>
      <x:c r="G120" s="31" t="str">
        <x:v>Magus Revert</x:v>
      </x:c>
      <x:c r="H120" s="31" t="str">
        <x:v>Magus Revert</x:v>
      </x:c>
      <x:c r="I120" s="31" t="str">
        <x:v>/Lotus/Upgrades/CosmeticEnhancers/OperatorArmour/ReverseOnDash</x:v>
      </x:c>
      <x:c r="J120" s="31" t="str">
        <x:v>VALID</x:v>
      </x:c>
      <x:c r="K120" s="31" t="str">
        <x:v>unique_name, equipment_type, introduced_update, effect_text</x:v>
      </x:c>
      <x:c r="L120" s="62" t="str">
        <x:v>unique_name: Gu=∅ | WFCD=/Lotus/Upgrades/CosmeticEnhancers/OperatorArmour/ReverseOnDash | reason=MISSING_OR_DIFFERENT_STABLE_ID
equipment_type: Gu=∅ | WFCD=Operator Arcane | legacy_subcategory=; reason=EQUIPMENT_COMPATIBILITY_IS_SEPARATE_FROM_LEGACY_SUBCATEGORY
introduced_update: Gu=∅ | WFCD=Update 24.2
effect_text: Gu=∅ | WFCD=On Void Sling:\nUse again within 3s, to return the Operator to their original position at no energy cost. Restores 60 Health. 3s cooldown. | comparison=HEURISTIC_TEXT_ONLY</x:v>
      </x:c>
      <x:c r="M120" s="62" t="str">
        <x:v>Batch-review the exact-name identity and provenance fields; no game launch is expected.</x:v>
      </x:c>
      <x:c r="N120" s="62" t="str">
        <x:v>Pinned WFCD payload and current Gu row.</x:v>
      </x:c>
      <x:c r="O120" s="31" t="str">
        <x:v>NOT_STARTED</x:v>
      </x:c>
      <x:c r="P120" s="31" t="str"/>
      <x:c r="Q120" s="31" t="str">
        <x:v>Magus Revert</x:v>
      </x:c>
      <x:c r="R120" s="31" t="str">
        <x:v>/Lotus/Upgrades/CosmeticEnhancers/OperatorArmour/ReverseOnDash</x:v>
      </x:c>
      <x:c r="S120" s="62" t="str"/>
      <x:c r="T120" s="62" t="str"/>
      <x:c r="U120" s="31" t="str"/>
      <x:c r="V120" s="65"/>
      <x:c r="W120" s="31" t="str">
        <x:f>IF(AND(O120="COMPLETE",P120&lt;&gt;"",P120&lt;&gt;"DEFER"),"YES","NO")</x:f>
        <x:v>NO</x:v>
      </x:c>
      <x:c r="X120" s="31" t="str">
        <x:v>https://raw.githubusercontent.com/WFCD/warframe-items/f7c69c0786611df81214cabf588160d7af9cc80c/data/json/Arcanes.json</x:v>
      </x:c>
      <x:c r="Y120" s="31" t="str">
        <x:v>f40d0d19-c224-47f8-9ef2-c225f42e91d0</x:v>
      </x:c>
    </x:row>
    <x:row r="121">
      <x:c r="A121" s="31" t="str">
        <x:v>ARC-0114</x:v>
      </x:c>
      <x:c r="B121" s="31" t="str">
        <x:v>P2</x:v>
      </x:c>
      <x:c r="C121" s="31" t="str">
        <x:v>NO</x:v>
      </x:c>
      <x:c r="D121" s="31" t="str">
        <x:v>VALUE_MISMATCH</x:v>
      </x:c>
      <x:c r="E121" s="31" t="str">
        <x:v>EXACT_NORMALIZED_NAME</x:v>
      </x:c>
      <x:c r="F121" s="31" t="str">
        <x:v>31</x:v>
      </x:c>
      <x:c r="G121" s="31" t="str">
        <x:v>Magus Vigor</x:v>
      </x:c>
      <x:c r="H121" s="31" t="str">
        <x:v>Magus Vigor</x:v>
      </x:c>
      <x:c r="I121" s="31" t="str">
        <x:v>/Lotus/Upgrades/CosmeticEnhancers/OperatorArmour/HealthOnOperatorMode</x:v>
      </x:c>
      <x:c r="J121" s="31" t="str">
        <x:v>VALID</x:v>
      </x:c>
      <x:c r="K121" s="31" t="str">
        <x:v>unique_name, equipment_type, introduced_update, effect_text</x:v>
      </x:c>
      <x:c r="L121" s="62" t="str">
        <x:v>unique_name: Gu=∅ | WFCD=/Lotus/Upgrades/CosmeticEnhancers/OperatorArmour/HealthOnOperatorMode | reason=MISSING_OR_DIFFERENT_STABLE_ID
equipment_type: Gu=∅ | WFCD=Operator Arcane | legacy_subcategory=Magus; reason=EQUIPMENT_COMPATIBILITY_IS_SEPARATE_FROM_LEGACY_SUBCATEGORY
introduced_update: Gu=22.0 | WFCD=Update 22.0
effect_text: Gu=+300 Max HP to Warframe while Operator is in Void Mode | WFCD=On Transference Out:\n+600 Health | comparison=HEURISTIC_TEXT_ONLY</x:v>
      </x:c>
      <x:c r="M121" s="62" t="str">
        <x:v>Batch-review the exact-name identity and provenance fields; no game launch is expected.</x:v>
      </x:c>
      <x:c r="N121" s="62" t="str">
        <x:v>Pinned WFCD payload and current Gu row.</x:v>
      </x:c>
      <x:c r="O121" s="31" t="str">
        <x:v>NOT_STARTED</x:v>
      </x:c>
      <x:c r="P121" s="31" t="str"/>
      <x:c r="Q121" s="31" t="str">
        <x:v>Magus Vigor</x:v>
      </x:c>
      <x:c r="R121" s="31" t="str">
        <x:v>/Lotus/Upgrades/CosmeticEnhancers/OperatorArmour/HealthOnOperatorMode</x:v>
      </x:c>
      <x:c r="S121" s="62" t="str"/>
      <x:c r="T121" s="62" t="str"/>
      <x:c r="U121" s="31" t="str"/>
      <x:c r="V121" s="65"/>
      <x:c r="W121" s="31" t="str">
        <x:f>IF(AND(O121="COMPLETE",P121&lt;&gt;"",P121&lt;&gt;"DEFER"),"YES","NO")</x:f>
        <x:v>NO</x:v>
      </x:c>
      <x:c r="X121" s="31" t="str">
        <x:v>https://raw.githubusercontent.com/WFCD/warframe-items/f7c69c0786611df81214cabf588160d7af9cc80c/data/json/Arcanes.json</x:v>
      </x:c>
      <x:c r="Y121" s="31" t="str">
        <x:v>f40d0d19-c224-47f8-9ef2-c225f42e91d0</x:v>
      </x:c>
    </x:row>
    <x:row r="122">
      <x:c r="A122" s="31" t="str">
        <x:v>ARC-0115</x:v>
      </x:c>
      <x:c r="B122" s="31" t="str">
        <x:v>P2</x:v>
      </x:c>
      <x:c r="C122" s="31" t="str">
        <x:v>NO</x:v>
      </x:c>
      <x:c r="D122" s="31" t="str">
        <x:v>VALUE_MISMATCH</x:v>
      </x:c>
      <x:c r="E122" s="31" t="str">
        <x:v>EXACT_NORMALIZED_NAME</x:v>
      </x:c>
      <x:c r="F122" s="31" t="str">
        <x:v>211</x:v>
      </x:c>
      <x:c r="G122" s="31" t="str">
        <x:v>Melee Afflictions</x:v>
      </x:c>
      <x:c r="H122" s="31" t="str">
        <x:v>Melee Afflictions</x:v>
      </x:c>
      <x:c r="I122" s="31" t="str">
        <x:v>/Lotus/Upgrades/CosmeticEnhancers/Offensive/DuplicateStatusOnKnock</x:v>
      </x:c>
      <x:c r="J122" s="31" t="str">
        <x:v>VALID</x:v>
      </x:c>
      <x:c r="K122" s="31" t="str">
        <x:v>unique_name, equipment_type, introduced_update, effect_text</x:v>
      </x:c>
      <x:c r="L122" s="62" t="str">
        <x:v>unique_name: Gu=∅ | WFCD=/Lotus/Upgrades/CosmeticEnhancers/Offensive/DuplicateStatusOnKnock | reason=MISSING_OR_DIFFERENT_STABLE_ID
equipment_type: Gu=∅ | WFCD=Melee Arcane | legacy_subcategory=Ascension; reason=EQUIPMENT_COMPATIBILITY_IS_SEPARATE_FROM_LEGACY_SUBCATEGORY
introduced_update: Gu=36.0 | WFCD=Update 36.0
effect_text: Gu=Melee status procs also strip Armor | WFCD=Enemies affected by Status Effects gain 6 additional stacks when they're knocked down or flung by melee attacks. | comparison=HEURISTIC_TEXT_ONLY</x:v>
      </x:c>
      <x:c r="M122" s="62" t="str">
        <x:v>Batch-review the exact-name identity and provenance fields; no game launch is expected.</x:v>
      </x:c>
      <x:c r="N122" s="62" t="str">
        <x:v>Pinned WFCD payload and current Gu row.</x:v>
      </x:c>
      <x:c r="O122" s="31" t="str">
        <x:v>NOT_STARTED</x:v>
      </x:c>
      <x:c r="P122" s="31" t="str"/>
      <x:c r="Q122" s="31" t="str">
        <x:v>Melee Afflictions</x:v>
      </x:c>
      <x:c r="R122" s="31" t="str">
        <x:v>/Lotus/Upgrades/CosmeticEnhancers/Offensive/DuplicateStatusOnKnock</x:v>
      </x:c>
      <x:c r="S122" s="62" t="str"/>
      <x:c r="T122" s="62" t="str"/>
      <x:c r="U122" s="31" t="str"/>
      <x:c r="V122" s="65"/>
      <x:c r="W122" s="31" t="str">
        <x:f>IF(AND(O122="COMPLETE",P122&lt;&gt;"",P122&lt;&gt;"DEFER"),"YES","NO")</x:f>
        <x:v>NO</x:v>
      </x:c>
      <x:c r="X122" s="31" t="str">
        <x:v>https://raw.githubusercontent.com/WFCD/warframe-items/f7c69c0786611df81214cabf588160d7af9cc80c/data/json/Arcanes.json</x:v>
      </x:c>
      <x:c r="Y122" s="31" t="str">
        <x:v>f40d0d19-c224-47f8-9ef2-c225f42e91d0</x:v>
      </x:c>
    </x:row>
    <x:row r="123">
      <x:c r="A123" s="31" t="str">
        <x:v>ARC-0116</x:v>
      </x:c>
      <x:c r="B123" s="31" t="str">
        <x:v>P2</x:v>
      </x:c>
      <x:c r="C123" s="31" t="str">
        <x:v>NO</x:v>
      </x:c>
      <x:c r="D123" s="31" t="str">
        <x:v>VALUE_MISMATCH</x:v>
      </x:c>
      <x:c r="E123" s="31" t="str">
        <x:v>EXACT_NORMALIZED_NAME</x:v>
      </x:c>
      <x:c r="F123" s="31" t="str">
        <x:v>203</x:v>
      </x:c>
      <x:c r="G123" s="31" t="str">
        <x:v>Melee Animosity</x:v>
      </x:c>
      <x:c r="H123" s="31" t="str">
        <x:v>Melee Animosity</x:v>
      </x:c>
      <x:c r="I123" s="31" t="str">
        <x:v>/Lotus/Upgrades/CosmeticEnhancers/Offensive/HeavyCritOnRegularMelee</x:v>
      </x:c>
      <x:c r="J123" s="31" t="str">
        <x:v>VALID</x:v>
      </x:c>
      <x:c r="K123" s="31" t="str">
        <x:v>unique_name, equipment_type, introduced_update, effect_text</x:v>
      </x:c>
      <x:c r="L123" s="62" t="str">
        <x:v>unique_name: Gu=∅ | WFCD=/Lotus/Upgrades/CosmeticEnhancers/Offensive/HeavyCritOnRegularMelee | reason=MISSING_OR_DIFFERENT_STABLE_ID
equipment_type: Gu=∅ | WFCD=Melee Arcane | legacy_subcategory=Netracell; reason=EQUIPMENT_COMPATIBILITY_IS_SEPARATE_FROM_LEGACY_SUBCATEGORY
introduced_update: Gu=35.0 | WFCD=Update 35.0
effect_text: Gu=Stacking +10% Melee Damage; max +120% | WFCD=On Melee Hit: Gain 42% Critical Chance on your next Heavy Attack, up to 420% | comparison=HEURISTIC_TEXT_ONLY</x:v>
      </x:c>
      <x:c r="M123" s="62" t="str">
        <x:v>Batch-review the exact-name identity and provenance fields; no game launch is expected.</x:v>
      </x:c>
      <x:c r="N123" s="62" t="str">
        <x:v>Pinned WFCD payload and current Gu row.</x:v>
      </x:c>
      <x:c r="O123" s="31" t="str">
        <x:v>NOT_STARTED</x:v>
      </x:c>
      <x:c r="P123" s="31" t="str"/>
      <x:c r="Q123" s="31" t="str">
        <x:v>Melee Animosity</x:v>
      </x:c>
      <x:c r="R123" s="31" t="str">
        <x:v>/Lotus/Upgrades/CosmeticEnhancers/Offensive/HeavyCritOnRegularMelee</x:v>
      </x:c>
      <x:c r="S123" s="62" t="str"/>
      <x:c r="T123" s="62" t="str"/>
      <x:c r="U123" s="31" t="str"/>
      <x:c r="V123" s="65"/>
      <x:c r="W123" s="31" t="str">
        <x:f>IF(AND(O123="COMPLETE",P123&lt;&gt;"",P123&lt;&gt;"DEFER"),"YES","NO")</x:f>
        <x:v>NO</x:v>
      </x:c>
      <x:c r="X123" s="31" t="str">
        <x:v>https://raw.githubusercontent.com/WFCD/warframe-items/f7c69c0786611df81214cabf588160d7af9cc80c/data/json/Arcanes.json</x:v>
      </x:c>
      <x:c r="Y123" s="31" t="str">
        <x:v>f40d0d19-c224-47f8-9ef2-c225f42e91d0</x:v>
      </x:c>
    </x:row>
    <x:row r="124">
      <x:c r="A124" s="31" t="str">
        <x:v>ARC-0117</x:v>
      </x:c>
      <x:c r="B124" s="31" t="str">
        <x:v>P2</x:v>
      </x:c>
      <x:c r="C124" s="31" t="str">
        <x:v>NO</x:v>
      </x:c>
      <x:c r="D124" s="31" t="str">
        <x:v>VALUE_MISMATCH</x:v>
      </x:c>
      <x:c r="E124" s="31" t="str">
        <x:v>EXACT_NORMALIZED_NAME</x:v>
      </x:c>
      <x:c r="F124" s="31" t="str">
        <x:v>397</x:v>
      </x:c>
      <x:c r="G124" s="31" t="str">
        <x:v>Melee Careen</x:v>
      </x:c>
      <x:c r="H124" s="31" t="str">
        <x:v>Melee Careen</x:v>
      </x:c>
      <x:c r="I124" s="31" t="str">
        <x:v>/Lotus/Upgrades/CosmeticEnhancers/Utility/FreezeEnemiesOnRoll</x:v>
      </x:c>
      <x:c r="J124" s="31" t="str">
        <x:v>VALID</x:v>
      </x:c>
      <x:c r="K124" s="31" t="str">
        <x:v>unique_name, equipment_type, introduced_update, effect_text</x:v>
      </x:c>
      <x:c r="L124" s="62" t="str">
        <x:v>unique_name: Gu=∅ | WFCD=/Lotus/Upgrades/CosmeticEnhancers/Utility/FreezeEnemiesOnRoll | reason=MISSING_OR_DIFFERENT_STABLE_ID
equipment_type: Gu=∅ | WFCD=Melee Arcane | legacy_subcategory=; reason=EQUIPMENT_COMPATIBILITY_IS_SEPARATE_FROM_LEGACY_SUBCATEGORY
introduced_update: Gu=∅ | WFCD=Update 41.0
effect_text: Gu=∅ | WFCD=x2.50 Melee Damage against Frozen enemies. On Roll: &lt;DT_FREEZE_COLOR&gt; Freeze enemies in a 5.5m radius with a 2s Cooldown. | comparison=HEURISTIC_TEXT_ONLY</x:v>
      </x:c>
      <x:c r="M124" s="62" t="str">
        <x:v>Batch-review the exact-name identity and provenance fields; no game launch is expected.</x:v>
      </x:c>
      <x:c r="N124" s="62" t="str">
        <x:v>Pinned WFCD payload and current Gu row.</x:v>
      </x:c>
      <x:c r="O124" s="31" t="str">
        <x:v>NOT_STARTED</x:v>
      </x:c>
      <x:c r="P124" s="31" t="str"/>
      <x:c r="Q124" s="31" t="str">
        <x:v>Melee Careen</x:v>
      </x:c>
      <x:c r="R124" s="31" t="str">
        <x:v>/Lotus/Upgrades/CosmeticEnhancers/Utility/FreezeEnemiesOnRoll</x:v>
      </x:c>
      <x:c r="S124" s="62" t="str"/>
      <x:c r="T124" s="62" t="str"/>
      <x:c r="U124" s="31" t="str"/>
      <x:c r="V124" s="65"/>
      <x:c r="W124" s="31" t="str">
        <x:f>IF(AND(O124="COMPLETE",P124&lt;&gt;"",P124&lt;&gt;"DEFER"),"YES","NO")</x:f>
        <x:v>NO</x:v>
      </x:c>
      <x:c r="X124" s="31" t="str">
        <x:v>https://raw.githubusercontent.com/WFCD/warframe-items/f7c69c0786611df81214cabf588160d7af9cc80c/data/json/Arcanes.json</x:v>
      </x:c>
      <x:c r="Y124" s="31" t="str">
        <x:v>f40d0d19-c224-47f8-9ef2-c225f42e91d0</x:v>
      </x:c>
    </x:row>
    <x:row r="125">
      <x:c r="A125" s="31" t="str">
        <x:v>ARC-0118</x:v>
      </x:c>
      <x:c r="B125" s="31" t="str">
        <x:v>P2</x:v>
      </x:c>
      <x:c r="C125" s="31" t="str">
        <x:v>NO</x:v>
      </x:c>
      <x:c r="D125" s="31" t="str">
        <x:v>VALUE_MISMATCH</x:v>
      </x:c>
      <x:c r="E125" s="31" t="str">
        <x:v>EXACT_NORMALIZED_NAME</x:v>
      </x:c>
      <x:c r="F125" s="31" t="str">
        <x:v>205</x:v>
      </x:c>
      <x:c r="G125" s="31" t="str">
        <x:v>Melee Crescendo</x:v>
      </x:c>
      <x:c r="H125" s="31" t="str">
        <x:v>Melee Crescendo</x:v>
      </x:c>
      <x:c r="I125" s="31" t="str">
        <x:v>/Lotus/Upgrades/CosmeticEnhancers/Offensive/PermaComboOnFinisher</x:v>
      </x:c>
      <x:c r="J125" s="31" t="str">
        <x:v>VALID</x:v>
      </x:c>
      <x:c r="K125" s="31" t="str">
        <x:v>unique_name, equipment_type, introduced_update, effect_text</x:v>
      </x:c>
      <x:c r="L125" s="62" t="str">
        <x:v>unique_name: Gu=∅ | WFCD=/Lotus/Upgrades/CosmeticEnhancers/Offensive/PermaComboOnFinisher | reason=MISSING_OR_DIFFERENT_STABLE_ID
equipment_type: Gu=∅ | WFCD=Melee Arcane | legacy_subcategory=Netracell; reason=EQUIPMENT_COMPATIBILITY_IS_SEPARATE_FROM_LEGACY_SUBCATEGORY
introduced_update: Gu=35.0 | WFCD=Update 35.0
effect_text: Gu=+60% Melee Damage while at max combo | WFCD=On Finisher Kill: Gain 6 Initial Combo for the rest of your mission | comparison=HEURISTIC_TEXT_ONLY</x:v>
      </x:c>
      <x:c r="M125" s="62" t="str">
        <x:v>Batch-review the exact-name identity and provenance fields; no game launch is expected.</x:v>
      </x:c>
      <x:c r="N125" s="62" t="str">
        <x:v>Pinned WFCD payload and current Gu row.</x:v>
      </x:c>
      <x:c r="O125" s="31" t="str">
        <x:v>NOT_STARTED</x:v>
      </x:c>
      <x:c r="P125" s="31" t="str"/>
      <x:c r="Q125" s="31" t="str">
        <x:v>Melee Crescendo</x:v>
      </x:c>
      <x:c r="R125" s="31" t="str">
        <x:v>/Lotus/Upgrades/CosmeticEnhancers/Offensive/PermaComboOnFinisher</x:v>
      </x:c>
      <x:c r="S125" s="62" t="str"/>
      <x:c r="T125" s="62" t="str"/>
      <x:c r="U125" s="31" t="str"/>
      <x:c r="V125" s="65"/>
      <x:c r="W125" s="31" t="str">
        <x:f>IF(AND(O125="COMPLETE",P125&lt;&gt;"",P125&lt;&gt;"DEFER"),"YES","NO")</x:f>
        <x:v>NO</x:v>
      </x:c>
      <x:c r="X125" s="31" t="str">
        <x:v>https://raw.githubusercontent.com/WFCD/warframe-items/f7c69c0786611df81214cabf588160d7af9cc80c/data/json/Arcanes.json</x:v>
      </x:c>
      <x:c r="Y125" s="31" t="str">
        <x:v>f40d0d19-c224-47f8-9ef2-c225f42e91d0</x:v>
      </x:c>
    </x:row>
    <x:row r="126">
      <x:c r="A126" s="31" t="str">
        <x:v>ARC-0119</x:v>
      </x:c>
      <x:c r="B126" s="31" t="str">
        <x:v>P2</x:v>
      </x:c>
      <x:c r="C126" s="31" t="str">
        <x:v>NO</x:v>
      </x:c>
      <x:c r="D126" s="31" t="str">
        <x:v>VALUE_MISMATCH</x:v>
      </x:c>
      <x:c r="E126" s="31" t="str">
        <x:v>EXACT_NORMALIZED_NAME</x:v>
      </x:c>
      <x:c r="F126" s="31" t="str">
        <x:v>212</x:v>
      </x:c>
      <x:c r="G126" s="31" t="str">
        <x:v>Melee Doughty</x:v>
      </x:c>
      <x:c r="H126" s="31" t="str">
        <x:v>Melee Doughty</x:v>
      </x:c>
      <x:c r="I126" s="31" t="str">
        <x:v>/Lotus/Upgrades/CosmeticEnhancers/Offensive/CritDamageForPunctureStatus</x:v>
      </x:c>
      <x:c r="J126" s="31" t="str">
        <x:v>VALID</x:v>
      </x:c>
      <x:c r="K126" s="31" t="str">
        <x:v>unique_name, equipment_type, introduced_update, effect_text</x:v>
      </x:c>
      <x:c r="L126" s="62" t="str">
        <x:v>unique_name: Gu=∅ | WFCD=/Lotus/Upgrades/CosmeticEnhancers/Offensive/CritDamageForPunctureStatus | reason=MISSING_OR_DIFFERENT_STABLE_ID
equipment_type: Gu=∅ | WFCD=Melee Arcane | legacy_subcategory=Höllvania; reason=EQUIPMENT_COMPATIBILITY_IS_SEPARATE_FROM_LEGACY_SUBCATEGORY
introduced_update: Gu=38.0 | WFCD=Update 38.0
effect_text: Gu=+90% Melee Damage for 8s after slide kills | WFCD=Gain 1.0x Critical Damage for every 10% &lt;DT_PUNCTURE_COLOR&gt;Puncture Status chance on your Melee Weapon. | comparison=HEURISTIC_TEXT_ONLY</x:v>
      </x:c>
      <x:c r="M126" s="62" t="str">
        <x:v>Batch-review the exact-name identity and provenance fields; no game launch is expected.</x:v>
      </x:c>
      <x:c r="N126" s="62" t="str">
        <x:v>Pinned WFCD payload and current Gu row.</x:v>
      </x:c>
      <x:c r="O126" s="31" t="str">
        <x:v>NOT_STARTED</x:v>
      </x:c>
      <x:c r="P126" s="31" t="str"/>
      <x:c r="Q126" s="31" t="str">
        <x:v>Melee Doughty</x:v>
      </x:c>
      <x:c r="R126" s="31" t="str">
        <x:v>/Lotus/Upgrades/CosmeticEnhancers/Offensive/CritDamageForPunctureStatus</x:v>
      </x:c>
      <x:c r="S126" s="62" t="str"/>
      <x:c r="T126" s="62" t="str"/>
      <x:c r="U126" s="31" t="str"/>
      <x:c r="V126" s="65"/>
      <x:c r="W126" s="31" t="str">
        <x:f>IF(AND(O126="COMPLETE",P126&lt;&gt;"",P126&lt;&gt;"DEFER"),"YES","NO")</x:f>
        <x:v>NO</x:v>
      </x:c>
      <x:c r="X126" s="31" t="str">
        <x:v>https://raw.githubusercontent.com/WFCD/warframe-items/f7c69c0786611df81214cabf588160d7af9cc80c/data/json/Arcanes.json</x:v>
      </x:c>
      <x:c r="Y126" s="31" t="str">
        <x:v>f40d0d19-c224-47f8-9ef2-c225f42e91d0</x:v>
      </x:c>
    </x:row>
    <x:row r="127">
      <x:c r="A127" s="31" t="str">
        <x:v>ARC-0120</x:v>
      </x:c>
      <x:c r="B127" s="31" t="str">
        <x:v>P2</x:v>
      </x:c>
      <x:c r="C127" s="31" t="str">
        <x:v>NO</x:v>
      </x:c>
      <x:c r="D127" s="31" t="str">
        <x:v>VALUE_MISMATCH</x:v>
      </x:c>
      <x:c r="E127" s="31" t="str">
        <x:v>EXACT_NORMALIZED_NAME</x:v>
      </x:c>
      <x:c r="F127" s="31" t="str">
        <x:v>206</x:v>
      </x:c>
      <x:c r="G127" s="31" t="str">
        <x:v>Melee Duplicate</x:v>
      </x:c>
      <x:c r="H127" s="31" t="str">
        <x:v>Melee Duplicate</x:v>
      </x:c>
      <x:c r="I127" s="31" t="str">
        <x:v>/Lotus/Upgrades/CosmeticEnhancers/Offensive/ReplayLightCritHits</x:v>
      </x:c>
      <x:c r="J127" s="31" t="str">
        <x:v>VALID</x:v>
      </x:c>
      <x:c r="K127" s="31" t="str">
        <x:v>unique_name, equipment_type, introduced_update, effect_text</x:v>
      </x:c>
      <x:c r="L127" s="62" t="str">
        <x:v>unique_name: Gu=∅ | WFCD=/Lotus/Upgrades/CosmeticEnhancers/Offensive/ReplayLightCritHits | reason=MISSING_OR_DIFFERENT_STABLE_ID
equipment_type: Gu=∅ | WFCD=Melee Arcane | legacy_subcategory=Netracell; reason=EQUIPMENT_COMPATIBILITY_IS_SEPARATE_FROM_LEGACY_SUBCATEGORY
introduced_update: Gu=35.0 | WFCD=Update 35.0
effect_text: Gu=30% chance to duplicate finisher damage as an explosion | WFCD=On Base Critical Hits: 100% chance for your attack to strike a second time | comparison=HEURISTIC_TEXT_ONLY</x:v>
      </x:c>
      <x:c r="M127" s="62" t="str">
        <x:v>Batch-review the exact-name identity and provenance fields; no game launch is expected.</x:v>
      </x:c>
      <x:c r="N127" s="62" t="str">
        <x:v>Pinned WFCD payload and current Gu row.</x:v>
      </x:c>
      <x:c r="O127" s="31" t="str">
        <x:v>NOT_STARTED</x:v>
      </x:c>
      <x:c r="P127" s="31" t="str"/>
      <x:c r="Q127" s="31" t="str">
        <x:v>Melee Duplicate</x:v>
      </x:c>
      <x:c r="R127" s="31" t="str">
        <x:v>/Lotus/Upgrades/CosmeticEnhancers/Offensive/ReplayLightCritHits</x:v>
      </x:c>
      <x:c r="S127" s="62" t="str"/>
      <x:c r="T127" s="62" t="str"/>
      <x:c r="U127" s="31" t="str"/>
      <x:c r="V127" s="65"/>
      <x:c r="W127" s="31" t="str">
        <x:f>IF(AND(O127="COMPLETE",P127&lt;&gt;"",P127&lt;&gt;"DEFER"),"YES","NO")</x:f>
        <x:v>NO</x:v>
      </x:c>
      <x:c r="X127" s="31" t="str">
        <x:v>https://raw.githubusercontent.com/WFCD/warframe-items/f7c69c0786611df81214cabf588160d7af9cc80c/data/json/Arcanes.json</x:v>
      </x:c>
      <x:c r="Y127" s="31" t="str">
        <x:v>f40d0d19-c224-47f8-9ef2-c225f42e91d0</x:v>
      </x:c>
    </x:row>
    <x:row r="128">
      <x:c r="A128" s="31" t="str">
        <x:v>ARC-0121</x:v>
      </x:c>
      <x:c r="B128" s="31" t="str">
        <x:v>P2</x:v>
      </x:c>
      <x:c r="C128" s="31" t="str">
        <x:v>NO</x:v>
      </x:c>
      <x:c r="D128" s="31" t="str">
        <x:v>VALUE_MISMATCH</x:v>
      </x:c>
      <x:c r="E128" s="31" t="str">
        <x:v>EXACT_NORMALIZED_NAME</x:v>
      </x:c>
      <x:c r="F128" s="31" t="str">
        <x:v>207</x:v>
      </x:c>
      <x:c r="G128" s="31" t="str">
        <x:v>Melee Exposure</x:v>
      </x:c>
      <x:c r="H128" s="31" t="str">
        <x:v>Melee Exposure</x:v>
      </x:c>
      <x:c r="I128" s="31" t="str">
        <x:v>/Lotus/Upgrades/CosmeticEnhancers/Offensive/CorrosiveMeleePerAbilityCast</x:v>
      </x:c>
      <x:c r="J128" s="31" t="str">
        <x:v>VALID</x:v>
      </x:c>
      <x:c r="K128" s="31" t="str">
        <x:v>unique_name, equipment_type, introduced_update, effect_text</x:v>
      </x:c>
      <x:c r="L128" s="62" t="str">
        <x:v>unique_name: Gu=∅ | WFCD=/Lotus/Upgrades/CosmeticEnhancers/Offensive/CorrosiveMeleePerAbilityCast | reason=MISSING_OR_DIFFERENT_STABLE_ID
equipment_type: Gu=∅ | WFCD=Melee Arcane | legacy_subcategory=Netracell; reason=EQUIPMENT_COMPATIBILITY_IS_SEPARATE_FROM_LEGACY_SUBCATEGORY
introduced_update: Gu=35.0 | WFCD=Update 35.0
effect_text: Gu=+30% Ability Damage for 10s | WFCD=On Ability Cast: Gain 60% Corrosive Damage on Melee strikes for 25s. Stacks up to 240%. | comparison=HEURISTIC_TEXT_ONLY</x:v>
      </x:c>
      <x:c r="M128" s="62" t="str">
        <x:v>Batch-review the exact-name identity and provenance fields; no game launch is expected.</x:v>
      </x:c>
      <x:c r="N128" s="62" t="str">
        <x:v>Pinned WFCD payload and current Gu row.</x:v>
      </x:c>
      <x:c r="O128" s="31" t="str">
        <x:v>NOT_STARTED</x:v>
      </x:c>
      <x:c r="P128" s="31" t="str"/>
      <x:c r="Q128" s="31" t="str">
        <x:v>Melee Exposure</x:v>
      </x:c>
      <x:c r="R128" s="31" t="str">
        <x:v>/Lotus/Upgrades/CosmeticEnhancers/Offensive/CorrosiveMeleePerAbilityCast</x:v>
      </x:c>
      <x:c r="S128" s="62" t="str"/>
      <x:c r="T128" s="62" t="str"/>
      <x:c r="U128" s="31" t="str"/>
      <x:c r="V128" s="65"/>
      <x:c r="W128" s="31" t="str">
        <x:f>IF(AND(O128="COMPLETE",P128&lt;&gt;"",P128&lt;&gt;"DEFER"),"YES","NO")</x:f>
        <x:v>NO</x:v>
      </x:c>
      <x:c r="X128" s="31" t="str">
        <x:v>https://raw.githubusercontent.com/WFCD/warframe-items/f7c69c0786611df81214cabf588160d7af9cc80c/data/json/Arcanes.json</x:v>
      </x:c>
      <x:c r="Y128" s="31" t="str">
        <x:v>f40d0d19-c224-47f8-9ef2-c225f42e91d0</x:v>
      </x:c>
    </x:row>
    <x:row r="129">
      <x:c r="A129" s="31" t="str">
        <x:v>ARC-0122</x:v>
      </x:c>
      <x:c r="B129" s="31" t="str">
        <x:v>P2</x:v>
      </x:c>
      <x:c r="C129" s="31" t="str">
        <x:v>NO</x:v>
      </x:c>
      <x:c r="D129" s="31" t="str">
        <x:v>VALUE_MISMATCH</x:v>
      </x:c>
      <x:c r="E129" s="31" t="str">
        <x:v>EXACT_NORMALIZED_NAME</x:v>
      </x:c>
      <x:c r="F129" s="31" t="str">
        <x:v>398</x:v>
      </x:c>
      <x:c r="G129" s="31" t="str">
        <x:v>Melee Fortification</x:v>
      </x:c>
      <x:c r="H129" s="31" t="str">
        <x:v>Melee Fortification</x:v>
      </x:c>
      <x:c r="I129" s="31" t="str">
        <x:v>/Lotus/Upgrades/CosmeticEnhancers/Offensive/ArmorOnMeleeKill</x:v>
      </x:c>
      <x:c r="J129" s="31" t="str">
        <x:v>VALID</x:v>
      </x:c>
      <x:c r="K129" s="31" t="str">
        <x:v>unique_name, equipment_type, introduced_update, effect_text</x:v>
      </x:c>
      <x:c r="L129" s="62" t="str">
        <x:v>unique_name: Gu=∅ | WFCD=/Lotus/Upgrades/CosmeticEnhancers/Offensive/ArmorOnMeleeKill | reason=MISSING_OR_DIFFERENT_STABLE_ID
equipment_type: Gu=∅ | WFCD=Melee Arcane | legacy_subcategory=; reason=EQUIPMENT_COMPATIBILITY_IS_SEPARATE_FROM_LEGACY_SUBCATEGORY
introduced_update: Gu=∅ | WFCD=Update 35.0
effect_text: Gu=∅ | WFCD=On Melee Kill: +210 Armor for 10s | comparison=HEURISTIC_TEXT_ONLY</x:v>
      </x:c>
      <x:c r="M129" s="62" t="str">
        <x:v>Batch-review the exact-name identity and provenance fields; no game launch is expected.</x:v>
      </x:c>
      <x:c r="N129" s="62" t="str">
        <x:v>Pinned WFCD payload and current Gu row.</x:v>
      </x:c>
      <x:c r="O129" s="31" t="str">
        <x:v>NOT_STARTED</x:v>
      </x:c>
      <x:c r="P129" s="31" t="str"/>
      <x:c r="Q129" s="31" t="str">
        <x:v>Melee Fortification</x:v>
      </x:c>
      <x:c r="R129" s="31" t="str">
        <x:v>/Lotus/Upgrades/CosmeticEnhancers/Offensive/ArmorOnMeleeKill</x:v>
      </x:c>
      <x:c r="S129" s="62" t="str"/>
      <x:c r="T129" s="62" t="str"/>
      <x:c r="U129" s="31" t="str"/>
      <x:c r="V129" s="65"/>
      <x:c r="W129" s="31" t="str">
        <x:f>IF(AND(O129="COMPLETE",P129&lt;&gt;"",P129&lt;&gt;"DEFER"),"YES","NO")</x:f>
        <x:v>NO</x:v>
      </x:c>
      <x:c r="X129" s="31" t="str">
        <x:v>https://raw.githubusercontent.com/WFCD/warframe-items/f7c69c0786611df81214cabf588160d7af9cc80c/data/json/Arcanes.json</x:v>
      </x:c>
      <x:c r="Y129" s="31" t="str">
        <x:v>f40d0d19-c224-47f8-9ef2-c225f42e91d0</x:v>
      </x:c>
    </x:row>
    <x:row r="130">
      <x:c r="A130" s="31" t="str">
        <x:v>ARC-0123</x:v>
      </x:c>
      <x:c r="B130" s="31" t="str">
        <x:v>P2</x:v>
      </x:c>
      <x:c r="C130" s="31" t="str">
        <x:v>NO</x:v>
      </x:c>
      <x:c r="D130" s="31" t="str">
        <x:v>VALUE_MISMATCH</x:v>
      </x:c>
      <x:c r="E130" s="31" t="str">
        <x:v>EXACT_NORMALIZED_NAME</x:v>
      </x:c>
      <x:c r="F130" s="31" t="str">
        <x:v>249</x:v>
      </x:c>
      <x:c r="G130" s="31" t="str">
        <x:v>Melee Influence</x:v>
      </x:c>
      <x:c r="H130" s="31" t="str">
        <x:v>Melee Influence</x:v>
      </x:c>
      <x:c r="I130" s="31" t="str">
        <x:v>/Lotus/Upgrades/CosmeticEnhancers/Offensive/MeleeProcsSpread</x:v>
      </x:c>
      <x:c r="J130" s="31" t="str">
        <x:v>VALID</x:v>
      </x:c>
      <x:c r="K130" s="31" t="str">
        <x:v>unique_name, equipment_type, introduced_update, effect_text</x:v>
      </x:c>
      <x:c r="L130" s="62" t="str">
        <x:v>unique_name: Gu=∅ | WFCD=/Lotus/Upgrades/CosmeticEnhancers/Offensive/MeleeProcsSpread | reason=MISSING_OR_DIFFERENT_STABLE_ID
equipment_type: Gu=∅ | WFCD=Melee Arcane | legacy_subcategory=Melee Arcane; reason=EQUIPMENT_COMPATIBILITY_IS_SEPARATE_FROM_LEGACY_SUBCATEGORY
introduced_update: Gu=Whispers in the Walls | WFCD=Update 35.0
effect_text: Gu=Spread status effects to nearby enemies | WFCD=On Melee &lt;DT_ELECTRICITY_COLOR&gt;Electricity Status: 20% chance for elemental Melee Status Effects to apply to enemies within 20m for 18s. Cannot refresh while active. | comparison=HEURISTIC_TEXT_ONLY</x:v>
      </x:c>
      <x:c r="M130" s="62" t="str">
        <x:v>Batch-review the exact-name identity and provenance fields; no game launch is expected.</x:v>
      </x:c>
      <x:c r="N130" s="62" t="str">
        <x:v>Pinned WFCD payload and current Gu row.</x:v>
      </x:c>
      <x:c r="O130" s="31" t="str">
        <x:v>NOT_STARTED</x:v>
      </x:c>
      <x:c r="P130" s="31" t="str"/>
      <x:c r="Q130" s="31" t="str">
        <x:v>Melee Influence</x:v>
      </x:c>
      <x:c r="R130" s="31" t="str">
        <x:v>/Lotus/Upgrades/CosmeticEnhancers/Offensive/MeleeProcsSpread</x:v>
      </x:c>
      <x:c r="S130" s="62" t="str"/>
      <x:c r="T130" s="62" t="str"/>
      <x:c r="U130" s="31" t="str"/>
      <x:c r="V130" s="65"/>
      <x:c r="W130" s="31" t="str">
        <x:f>IF(AND(O130="COMPLETE",P130&lt;&gt;"",P130&lt;&gt;"DEFER"),"YES","NO")</x:f>
        <x:v>NO</x:v>
      </x:c>
      <x:c r="X130" s="31" t="str">
        <x:v>https://raw.githubusercontent.com/WFCD/warframe-items/f7c69c0786611df81214cabf588160d7af9cc80c/data/json/Arcanes.json</x:v>
      </x:c>
      <x:c r="Y130" s="31" t="str">
        <x:v>f40d0d19-c224-47f8-9ef2-c225f42e91d0</x:v>
      </x:c>
    </x:row>
    <x:row r="131">
      <x:c r="A131" s="31" t="str">
        <x:v>ARC-0124</x:v>
      </x:c>
      <x:c r="B131" s="31" t="str">
        <x:v>P2</x:v>
      </x:c>
      <x:c r="C131" s="31" t="str">
        <x:v>NO</x:v>
      </x:c>
      <x:c r="D131" s="31" t="str">
        <x:v>VALUE_MISMATCH</x:v>
      </x:c>
      <x:c r="E131" s="31" t="str">
        <x:v>EXACT_NORMALIZED_NAME</x:v>
      </x:c>
      <x:c r="F131" s="31" t="str">
        <x:v>209</x:v>
      </x:c>
      <x:c r="G131" s="31" t="str">
        <x:v>Melee Retaliation</x:v>
      </x:c>
      <x:c r="H131" s="31" t="str">
        <x:v>Melee Retaliation</x:v>
      </x:c>
      <x:c r="I131" s="31" t="str">
        <x:v>/Lotus/Upgrades/CosmeticEnhancers/Offensive/MeleeDamageForActiveShields</x:v>
      </x:c>
      <x:c r="J131" s="31" t="str">
        <x:v>VALID</x:v>
      </x:c>
      <x:c r="K131" s="31" t="str">
        <x:v>unique_name, equipment_type, introduced_update, effect_text</x:v>
      </x:c>
      <x:c r="L131" s="62" t="str">
        <x:v>unique_name: Gu=∅ | WFCD=/Lotus/Upgrades/CosmeticEnhancers/Offensive/MeleeDamageForActiveShields | reason=MISSING_OR_DIFFERENT_STABLE_ID
equipment_type: Gu=∅ | WFCD=Melee Arcane | legacy_subcategory=Netracell; reason=EQUIPMENT_COMPATIBILITY_IS_SEPARATE_FROM_LEGACY_SUBCATEGORY
introduced_update: Gu=35.0 | WFCD=Update 35.0
effect_text: Gu=+60% Melee Crit Chance for 10s | WFCD=Gain 30% Melee Damage for every 200 current Shields, up to 420%. Bonus halved for Overshields. | comparison=HEURISTIC_TEXT_ONLY</x:v>
      </x:c>
      <x:c r="M131" s="62" t="str">
        <x:v>Batch-review the exact-name identity and provenance fields; no game launch is expected.</x:v>
      </x:c>
      <x:c r="N131" s="62" t="str">
        <x:v>Pinned WFCD payload and current Gu row.</x:v>
      </x:c>
      <x:c r="O131" s="31" t="str">
        <x:v>NOT_STARTED</x:v>
      </x:c>
      <x:c r="P131" s="31" t="str"/>
      <x:c r="Q131" s="31" t="str">
        <x:v>Melee Retaliation</x:v>
      </x:c>
      <x:c r="R131" s="31" t="str">
        <x:v>/Lotus/Upgrades/CosmeticEnhancers/Offensive/MeleeDamageForActiveShields</x:v>
      </x:c>
      <x:c r="S131" s="62" t="str"/>
      <x:c r="T131" s="62" t="str"/>
      <x:c r="U131" s="31" t="str"/>
      <x:c r="V131" s="65"/>
      <x:c r="W131" s="31" t="str">
        <x:f>IF(AND(O131="COMPLETE",P131&lt;&gt;"",P131&lt;&gt;"DEFER"),"YES","NO")</x:f>
        <x:v>NO</x:v>
      </x:c>
      <x:c r="X131" s="31" t="str">
        <x:v>https://raw.githubusercontent.com/WFCD/warframe-items/f7c69c0786611df81214cabf588160d7af9cc80c/data/json/Arcanes.json</x:v>
      </x:c>
      <x:c r="Y131" s="31" t="str">
        <x:v>f40d0d19-c224-47f8-9ef2-c225f42e91d0</x:v>
      </x:c>
    </x:row>
    <x:row r="132">
      <x:c r="A132" s="31" t="str">
        <x:v>ARC-0125</x:v>
      </x:c>
      <x:c r="B132" s="31" t="str">
        <x:v>P2</x:v>
      </x:c>
      <x:c r="C132" s="31" t="str">
        <x:v>NO</x:v>
      </x:c>
      <x:c r="D132" s="31" t="str">
        <x:v>VALUE_MISMATCH</x:v>
      </x:c>
      <x:c r="E132" s="31" t="str">
        <x:v>EXACT_NORMALIZED_NAME</x:v>
      </x:c>
      <x:c r="F132" s="31" t="str">
        <x:v>210</x:v>
      </x:c>
      <x:c r="G132" s="31" t="str">
        <x:v>Melee Vortex</x:v>
      </x:c>
      <x:c r="H132" s="31" t="str">
        <x:v>Melee Vortex</x:v>
      </x:c>
      <x:c r="I132" s="31" t="str">
        <x:v>/Lotus/Upgrades/CosmeticEnhancers/Offensive/PullEnemiesOnMeleeKill</x:v>
      </x:c>
      <x:c r="J132" s="31" t="str">
        <x:v>VALID</x:v>
      </x:c>
      <x:c r="K132" s="31" t="str">
        <x:v>unique_name, equipment_type, introduced_update, effect_text</x:v>
      </x:c>
      <x:c r="L132" s="62" t="str">
        <x:v>unique_name: Gu=∅ | WFCD=/Lotus/Upgrades/CosmeticEnhancers/Offensive/PullEnemiesOnMeleeKill | reason=MISSING_OR_DIFFERENT_STABLE_ID
equipment_type: Gu=∅ | WFCD=Melee Arcane | legacy_subcategory=Netracell; reason=EQUIPMENT_COMPATIBILITY_IS_SEPARATE_FROM_LEGACY_SUBCATEGORY
introduced_update: Gu=35.0 | WFCD=Update 35.0
effect_text: Gu=Heavy attacks pull enemies in before impact | WFCD=Kill an enemy affected by &lt;DT_MAGNETIC_COLOR&gt;Magnetic Status for a 45% chance to pull in enemies within 18m radius | comparison=HEURISTIC_TEXT_ONLY</x:v>
      </x:c>
      <x:c r="M132" s="62" t="str">
        <x:v>Batch-review the exact-name identity and provenance fields; no game launch is expected.</x:v>
      </x:c>
      <x:c r="N132" s="62" t="str">
        <x:v>Pinned WFCD payload and current Gu row.</x:v>
      </x:c>
      <x:c r="O132" s="31" t="str">
        <x:v>NOT_STARTED</x:v>
      </x:c>
      <x:c r="P132" s="31" t="str"/>
      <x:c r="Q132" s="31" t="str">
        <x:v>Melee Vortex</x:v>
      </x:c>
      <x:c r="R132" s="31" t="str">
        <x:v>/Lotus/Upgrades/CosmeticEnhancers/Offensive/PullEnemiesOnMeleeKill</x:v>
      </x:c>
      <x:c r="S132" s="62" t="str"/>
      <x:c r="T132" s="62" t="str"/>
      <x:c r="U132" s="31" t="str"/>
      <x:c r="V132" s="65"/>
      <x:c r="W132" s="31" t="str">
        <x:f>IF(AND(O132="COMPLETE",P132&lt;&gt;"",P132&lt;&gt;"DEFER"),"YES","NO")</x:f>
        <x:v>NO</x:v>
      </x:c>
      <x:c r="X132" s="31" t="str">
        <x:v>https://raw.githubusercontent.com/WFCD/warframe-items/f7c69c0786611df81214cabf588160d7af9cc80c/data/json/Arcanes.json</x:v>
      </x:c>
      <x:c r="Y132" s="31" t="str">
        <x:v>f40d0d19-c224-47f8-9ef2-c225f42e91d0</x:v>
      </x:c>
    </x:row>
    <x:row r="133">
      <x:c r="A133" s="31" t="str">
        <x:v>ARC-0126</x:v>
      </x:c>
      <x:c r="B133" s="31" t="str">
        <x:v>P2</x:v>
      </x:c>
      <x:c r="C133" s="31" t="str">
        <x:v>NO</x:v>
      </x:c>
      <x:c r="D133" s="31" t="str">
        <x:v>VALUE_MISMATCH</x:v>
      </x:c>
      <x:c r="E133" s="31" t="str">
        <x:v>EXACT_NORMALIZED_NAME</x:v>
      </x:c>
      <x:c r="F133" s="31" t="str">
        <x:v>156</x:v>
      </x:c>
      <x:c r="G133" s="31" t="str">
        <x:v>Molt Augmented</x:v>
      </x:c>
      <x:c r="H133" s="31" t="str">
        <x:v>Molt Augmented</x:v>
      </x:c>
      <x:c r="I133" s="31" t="str">
        <x:v>/Lotus/Upgrades/CosmeticEnhancers/Offensive/PowerStrengthOnKill</x:v>
      </x:c>
      <x:c r="J133" s="31" t="str">
        <x:v>VALID</x:v>
      </x:c>
      <x:c r="K133" s="31" t="str">
        <x:v>unique_name, equipment_type, introduced_update, effect_text</x:v>
      </x:c>
      <x:c r="L133" s="62" t="str">
        <x:v>unique_name: Gu=∅ | WFCD=/Lotus/Upgrades/CosmeticEnhancers/Offensive/PowerStrengthOnKill | reason=MISSING_OR_DIFFERENT_STABLE_ID
equipment_type: Gu=∅ | WFCD=Warframe Arcane | legacy_subcategory=Zariman; reason=EQUIPMENT_COMPATIBILITY_IS_SEPARATE_FROM_LEGACY_SUBCATEGORY
introduced_update: Gu=31.5 | WFCD=Update 31.6
effect_text: Gu=+0.2% Ability Strength per kill; caps at +60% | WFCD=On Kill:\n+0.24% Ability Strength. Stacks up to 250x.\n+1 Arcane Revive
+1 Arcane Revive | comparison=HEURISTIC_TEXT_ONLY</x:v>
      </x:c>
      <x:c r="M133" s="62" t="str">
        <x:v>Batch-review the exact-name identity and provenance fields; no game launch is expected.</x:v>
      </x:c>
      <x:c r="N133" s="62" t="str">
        <x:v>Pinned WFCD payload and current Gu row.</x:v>
      </x:c>
      <x:c r="O133" s="31" t="str">
        <x:v>NOT_STARTED</x:v>
      </x:c>
      <x:c r="P133" s="31" t="str"/>
      <x:c r="Q133" s="31" t="str">
        <x:v>Molt Augmented</x:v>
      </x:c>
      <x:c r="R133" s="31" t="str">
        <x:v>/Lotus/Upgrades/CosmeticEnhancers/Offensive/PowerStrengthOnKill</x:v>
      </x:c>
      <x:c r="S133" s="62" t="str"/>
      <x:c r="T133" s="62" t="str"/>
      <x:c r="U133" s="31" t="str"/>
      <x:c r="V133" s="65"/>
      <x:c r="W133" s="31" t="str">
        <x:f>IF(AND(O133="COMPLETE",P133&lt;&gt;"",P133&lt;&gt;"DEFER"),"YES","NO")</x:f>
        <x:v>NO</x:v>
      </x:c>
      <x:c r="X133" s="31" t="str">
        <x:v>https://raw.githubusercontent.com/WFCD/warframe-items/f7c69c0786611df81214cabf588160d7af9cc80c/data/json/Arcanes.json</x:v>
      </x:c>
      <x:c r="Y133" s="31" t="str">
        <x:v>f40d0d19-c224-47f8-9ef2-c225f42e91d0</x:v>
      </x:c>
    </x:row>
    <x:row r="134">
      <x:c r="A134" s="31" t="str">
        <x:v>ARC-0127</x:v>
      </x:c>
      <x:c r="B134" s="31" t="str">
        <x:v>P2</x:v>
      </x:c>
      <x:c r="C134" s="31" t="str">
        <x:v>NO</x:v>
      </x:c>
      <x:c r="D134" s="31" t="str">
        <x:v>VALUE_MISMATCH</x:v>
      </x:c>
      <x:c r="E134" s="31" t="str">
        <x:v>EXACT_NORMALIZED_NAME</x:v>
      </x:c>
      <x:c r="F134" s="31" t="str">
        <x:v>157</x:v>
      </x:c>
      <x:c r="G134" s="31" t="str">
        <x:v>Molt Efficiency</x:v>
      </x:c>
      <x:c r="H134" s="31" t="str">
        <x:v>Molt Efficiency</x:v>
      </x:c>
      <x:c r="I134" s="31" t="str">
        <x:v>/Lotus/Upgrades/CosmeticEnhancers/Zariman/WarframeOnShieldUptimePowerDuration</x:v>
      </x:c>
      <x:c r="J134" s="31" t="str">
        <x:v>VALID</x:v>
      </x:c>
      <x:c r="K134" s="31" t="str">
        <x:v>unique_name, equipment_type, introduced_update, effect_text</x:v>
      </x:c>
      <x:c r="L134" s="62" t="str">
        <x:v>unique_name: Gu=∅ | WFCD=/Lotus/Upgrades/CosmeticEnhancers/Zariman/WarframeOnShieldUptimePowerDuration | reason=MISSING_OR_DIFFERENT_STABLE_ID
equipment_type: Gu=∅ | WFCD=Warframe Arcane | legacy_subcategory=Zariman; reason=EQUIPMENT_COMPATIBILITY_IS_SEPARATE_FROM_LEGACY_SUBCATEGORY
introduced_update: Gu=31.5 | WFCD=Update 31.5
effect_text: Gu=While an Ability is active: +18% Damage Reduction; stacks to +54% | WFCD=While Shields are Active: Gain 6% Ability Duration per second, up to a maximum of 36%   
+1 Arcane Revive | comparison=HEURISTIC_TEXT_ONLY</x:v>
      </x:c>
      <x:c r="M134" s="62" t="str">
        <x:v>Batch-review the exact-name identity and provenance fields; no game launch is expected.</x:v>
      </x:c>
      <x:c r="N134" s="62" t="str">
        <x:v>Pinned WFCD payload and current Gu row.</x:v>
      </x:c>
      <x:c r="O134" s="31" t="str">
        <x:v>NOT_STARTED</x:v>
      </x:c>
      <x:c r="P134" s="31" t="str"/>
      <x:c r="Q134" s="31" t="str">
        <x:v>Molt Efficiency</x:v>
      </x:c>
      <x:c r="R134" s="31" t="str">
        <x:v>/Lotus/Upgrades/CosmeticEnhancers/Zariman/WarframeOnShieldUptimePowerDuration</x:v>
      </x:c>
      <x:c r="S134" s="62" t="str"/>
      <x:c r="T134" s="62" t="str"/>
      <x:c r="U134" s="31" t="str"/>
      <x:c r="V134" s="65"/>
      <x:c r="W134" s="31" t="str">
        <x:f>IF(AND(O134="COMPLETE",P134&lt;&gt;"",P134&lt;&gt;"DEFER"),"YES","NO")</x:f>
        <x:v>NO</x:v>
      </x:c>
      <x:c r="X134" s="31" t="str">
        <x:v>https://raw.githubusercontent.com/WFCD/warframe-items/f7c69c0786611df81214cabf588160d7af9cc80c/data/json/Arcanes.json</x:v>
      </x:c>
      <x:c r="Y134" s="31" t="str">
        <x:v>f40d0d19-c224-47f8-9ef2-c225f42e91d0</x:v>
      </x:c>
    </x:row>
    <x:row r="135">
      <x:c r="A135" s="31" t="str">
        <x:v>ARC-0128</x:v>
      </x:c>
      <x:c r="B135" s="31" t="str">
        <x:v>P2</x:v>
      </x:c>
      <x:c r="C135" s="31" t="str">
        <x:v>NO</x:v>
      </x:c>
      <x:c r="D135" s="31" t="str">
        <x:v>VALUE_MISMATCH</x:v>
      </x:c>
      <x:c r="E135" s="31" t="str">
        <x:v>EXACT_NORMALIZED_NAME</x:v>
      </x:c>
      <x:c r="F135" s="31" t="str">
        <x:v>158</x:v>
      </x:c>
      <x:c r="G135" s="31" t="str">
        <x:v>Molt Reconstruct</x:v>
      </x:c>
      <x:c r="H135" s="31" t="str">
        <x:v>Molt Reconstruct</x:v>
      </x:c>
      <x:c r="I135" s="31" t="str">
        <x:v>/Lotus/Upgrades/CosmeticEnhancers/Utility/HealAlliesOnEnergySpent</x:v>
      </x:c>
      <x:c r="J135" s="31" t="str">
        <x:v>VALID</x:v>
      </x:c>
      <x:c r="K135" s="31" t="str">
        <x:v>unique_name, equipment_type, introduced_update, effect_text</x:v>
      </x:c>
      <x:c r="L135" s="62" t="str">
        <x:v>unique_name: Gu=∅ | WFCD=/Lotus/Upgrades/CosmeticEnhancers/Utility/HealAlliesOnEnergySpent | reason=MISSING_OR_DIFFERENT_STABLE_ID
equipment_type: Gu=∅ | WFCD=Warframe Arcane | legacy_subcategory=Zariman; reason=EQUIPMENT_COMPATIBILITY_IS_SEPARATE_FROM_LEGACY_SUBCATEGORY
introduced_update: Gu=31.5 | WFCD=Update 31.6
effect_text: Gu=+25 Health restored per Ability cast | WFCD=Heal yourself and allies within Affinity Range 6 Health for each Energy point spent on the initial casting cost of abilities.
+1 Arcane Revive | comparison=HEURISTIC_TEXT_ONLY</x:v>
      </x:c>
      <x:c r="M135" s="62" t="str">
        <x:v>Batch-review the exact-name identity and provenance fields; no game launch is expected.</x:v>
      </x:c>
      <x:c r="N135" s="62" t="str">
        <x:v>Pinned WFCD payload and current Gu row.</x:v>
      </x:c>
      <x:c r="O135" s="31" t="str">
        <x:v>NOT_STARTED</x:v>
      </x:c>
      <x:c r="P135" s="31" t="str"/>
      <x:c r="Q135" s="31" t="str">
        <x:v>Molt Reconstruct</x:v>
      </x:c>
      <x:c r="R135" s="31" t="str">
        <x:v>/Lotus/Upgrades/CosmeticEnhancers/Utility/HealAlliesOnEnergySpent</x:v>
      </x:c>
      <x:c r="S135" s="62" t="str"/>
      <x:c r="T135" s="62" t="str"/>
      <x:c r="U135" s="31" t="str"/>
      <x:c r="V135" s="65"/>
      <x:c r="W135" s="31" t="str">
        <x:f>IF(AND(O135="COMPLETE",P135&lt;&gt;"",P135&lt;&gt;"DEFER"),"YES","NO")</x:f>
        <x:v>NO</x:v>
      </x:c>
      <x:c r="X135" s="31" t="str">
        <x:v>https://raw.githubusercontent.com/WFCD/warframe-items/f7c69c0786611df81214cabf588160d7af9cc80c/data/json/Arcanes.json</x:v>
      </x:c>
      <x:c r="Y135" s="31" t="str">
        <x:v>f40d0d19-c224-47f8-9ef2-c225f42e91d0</x:v>
      </x:c>
    </x:row>
    <x:row r="136">
      <x:c r="A136" s="31" t="str">
        <x:v>ARC-0129</x:v>
      </x:c>
      <x:c r="B136" s="31" t="str">
        <x:v>P2</x:v>
      </x:c>
      <x:c r="C136" s="31" t="str">
        <x:v>NO</x:v>
      </x:c>
      <x:c r="D136" s="31" t="str">
        <x:v>VALUE_MISMATCH</x:v>
      </x:c>
      <x:c r="E136" s="31" t="str">
        <x:v>EXACT_NORMALIZED_NAME</x:v>
      </x:c>
      <x:c r="F136" s="31" t="str">
        <x:v>159</x:v>
      </x:c>
      <x:c r="G136" s="31" t="str">
        <x:v>Molt Vigor</x:v>
      </x:c>
      <x:c r="H136" s="31" t="str">
        <x:v>Molt Vigor</x:v>
      </x:c>
      <x:c r="I136" s="31" t="str">
        <x:v>/Lotus/Upgrades/CosmeticEnhancers/Zariman/WarframeOnOperatorAbilityPowerStrength</x:v>
      </x:c>
      <x:c r="J136" s="31" t="str">
        <x:v>VALID</x:v>
      </x:c>
      <x:c r="K136" s="31" t="str">
        <x:v>unique_name, equipment_type, introduced_update, effect_text</x:v>
      </x:c>
      <x:c r="L136" s="62" t="str">
        <x:v>unique_name: Gu=∅ | WFCD=/Lotus/Upgrades/CosmeticEnhancers/Zariman/WarframeOnOperatorAbilityPowerStrength | reason=MISSING_OR_DIFFERENT_STABLE_ID
equipment_type: Gu=∅ | WFCD=Warframe Arcane | legacy_subcategory=Zariman; reason=EQUIPMENT_COMPATIBILITY_IS_SEPARATE_FROM_LEGACY_SUBCATEGORY
introduced_update: Gu=31.5 | WFCD=Update 31.5
effect_text: Gu=+300 Max Shields; +600 Shields on spawn | WFCD=On Operator Ability:\n45% Ability Strength on next Warframe Ability Cast\n+1 Arcane Revive
+1 Arcane Revive | comparison=HEURISTIC_TEXT_ONLY</x:v>
      </x:c>
      <x:c r="M136" s="62" t="str">
        <x:v>Batch-review the exact-name identity and provenance fields; no game launch is expected.</x:v>
      </x:c>
      <x:c r="N136" s="62" t="str">
        <x:v>Pinned WFCD payload and current Gu row.</x:v>
      </x:c>
      <x:c r="O136" s="31" t="str">
        <x:v>NOT_STARTED</x:v>
      </x:c>
      <x:c r="P136" s="31" t="str"/>
      <x:c r="Q136" s="31" t="str">
        <x:v>Molt Vigor</x:v>
      </x:c>
      <x:c r="R136" s="31" t="str">
        <x:v>/Lotus/Upgrades/CosmeticEnhancers/Zariman/WarframeOnOperatorAbilityPowerStrength</x:v>
      </x:c>
      <x:c r="S136" s="62" t="str"/>
      <x:c r="T136" s="62" t="str"/>
      <x:c r="U136" s="31" t="str"/>
      <x:c r="V136" s="65"/>
      <x:c r="W136" s="31" t="str">
        <x:f>IF(AND(O136="COMPLETE",P136&lt;&gt;"",P136&lt;&gt;"DEFER"),"YES","NO")</x:f>
        <x:v>NO</x:v>
      </x:c>
      <x:c r="X136" s="31" t="str">
        <x:v>https://raw.githubusercontent.com/WFCD/warframe-items/f7c69c0786611df81214cabf588160d7af9cc80c/data/json/Arcanes.json</x:v>
      </x:c>
      <x:c r="Y136" s="31" t="str">
        <x:v>f40d0d19-c224-47f8-9ef2-c225f42e91d0</x:v>
      </x:c>
    </x:row>
    <x:row r="137">
      <x:c r="A137" s="31" t="str">
        <x:v>ARC-0130</x:v>
      </x:c>
      <x:c r="B137" s="31" t="str">
        <x:v>P2</x:v>
      </x:c>
      <x:c r="C137" s="31" t="str">
        <x:v>NO</x:v>
      </x:c>
      <x:c r="D137" s="31" t="str">
        <x:v>VALUE_MISMATCH</x:v>
      </x:c>
      <x:c r="E137" s="31" t="str">
        <x:v>EXACT_NORMALIZED_NAME</x:v>
      </x:c>
      <x:c r="F137" s="31" t="str">
        <x:v>222</x:v>
      </x:c>
      <x:c r="G137" s="31" t="str">
        <x:v>Pax Bolt</x:v>
      </x:c>
      <x:c r="H137" s="31" t="str">
        <x:v>Pax Bolt</x:v>
      </x:c>
      <x:c r="I137" s="31" t="str">
        <x:v>/Lotus/Upgrades/CosmeticEnhancers/Utility/EnergyEfficiencyOnHeadshot</x:v>
      </x:c>
      <x:c r="J137" s="31" t="str">
        <x:v>VALID</x:v>
      </x:c>
      <x:c r="K137" s="31" t="str">
        <x:v>unique_name, equipment_type, introduced_update, effect_text</x:v>
      </x:c>
      <x:c r="L137" s="62" t="str">
        <x:v>unique_name: Gu=∅ | WFCD=/Lotus/Upgrades/CosmeticEnhancers/Utility/EnergyEfficiencyOnHeadshot | reason=MISSING_OR_DIFFERENT_STABLE_ID
equipment_type: Gu=∅ | WFCD=Kitgun Arcane | legacy_subcategory=Pax; reason=EQUIPMENT_COMPATIBILITY_IS_SEPARATE_FROM_LEGACY_SUBCATEGORY
introduced_update: Gu=24.0 | WFCD=Update 24.0
effect_text: Gu=+60% Secondary Crit Damage for 12s; stacks 3× | WFCD=On Headshot Kill:\n+30% Ability Efficiency and +30% Ability Strength on the next Ability used within 4s. | comparison=HEURISTIC_TEXT_ONLY</x:v>
      </x:c>
      <x:c r="M137" s="62" t="str">
        <x:v>Batch-review the exact-name identity and provenance fields; no game launch is expected.</x:v>
      </x:c>
      <x:c r="N137" s="62" t="str">
        <x:v>Pinned WFCD payload and current Gu row.</x:v>
      </x:c>
      <x:c r="O137" s="31" t="str">
        <x:v>NOT_STARTED</x:v>
      </x:c>
      <x:c r="P137" s="31" t="str"/>
      <x:c r="Q137" s="31" t="str">
        <x:v>Pax Bolt</x:v>
      </x:c>
      <x:c r="R137" s="31" t="str">
        <x:v>/Lotus/Upgrades/CosmeticEnhancers/Utility/EnergyEfficiencyOnHeadshot</x:v>
      </x:c>
      <x:c r="S137" s="62" t="str"/>
      <x:c r="T137" s="62" t="str"/>
      <x:c r="U137" s="31" t="str"/>
      <x:c r="V137" s="65"/>
      <x:c r="W137" s="31" t="str">
        <x:f>IF(AND(O137="COMPLETE",P137&lt;&gt;"",P137&lt;&gt;"DEFER"),"YES","NO")</x:f>
        <x:v>NO</x:v>
      </x:c>
      <x:c r="X137" s="31" t="str">
        <x:v>https://raw.githubusercontent.com/WFCD/warframe-items/f7c69c0786611df81214cabf588160d7af9cc80c/data/json/Arcanes.json</x:v>
      </x:c>
      <x:c r="Y137" s="31" t="str">
        <x:v>f40d0d19-c224-47f8-9ef2-c225f42e91d0</x:v>
      </x:c>
    </x:row>
    <x:row r="138">
      <x:c r="A138" s="31" t="str">
        <x:v>ARC-0131</x:v>
      </x:c>
      <x:c r="B138" s="31" t="str">
        <x:v>P2</x:v>
      </x:c>
      <x:c r="C138" s="31" t="str">
        <x:v>NO</x:v>
      </x:c>
      <x:c r="D138" s="31" t="str">
        <x:v>VALUE_MISMATCH</x:v>
      </x:c>
      <x:c r="E138" s="31" t="str">
        <x:v>EXACT_NORMALIZED_NAME</x:v>
      </x:c>
      <x:c r="F138" s="31" t="str">
        <x:v>223</x:v>
      </x:c>
      <x:c r="G138" s="31" t="str">
        <x:v>Pax Charge</x:v>
      </x:c>
      <x:c r="H138" s="31" t="str">
        <x:v>Pax Charge</x:v>
      </x:c>
      <x:c r="I138" s="31" t="str">
        <x:v>/Lotus/Upgrades/CosmeticEnhancers/Utility/BulletToBattery</x:v>
      </x:c>
      <x:c r="J138" s="31" t="str">
        <x:v>VALID</x:v>
      </x:c>
      <x:c r="K138" s="31" t="str">
        <x:v>unique_name, equipment_type, introduced_update, effect_text</x:v>
      </x:c>
      <x:c r="L138" s="62" t="str">
        <x:v>unique_name: Gu=∅ | WFCD=/Lotus/Upgrades/CosmeticEnhancers/Utility/BulletToBattery | reason=MISSING_OR_DIFFERENT_STABLE_ID
equipment_type: Gu=∅ | WFCD=Kitgun Arcane | legacy_subcategory=Pax; reason=EQUIPMENT_COMPATIBILITY_IS_SEPARATE_FROM_LEGACY_SUBCATEGORY
introduced_update: Gu=24.0 | WFCD=Update 24.0
effect_text: Gu=Reloads Kitgun fully for free on kill | WFCD=Battery Recharge Delay is reduced by +50% | comparison=HEURISTIC_TEXT_ONLY</x:v>
      </x:c>
      <x:c r="M138" s="62" t="str">
        <x:v>Batch-review the exact-name identity and provenance fields; no game launch is expected.</x:v>
      </x:c>
      <x:c r="N138" s="62" t="str">
        <x:v>Pinned WFCD payload and current Gu row.</x:v>
      </x:c>
      <x:c r="O138" s="31" t="str">
        <x:v>NOT_STARTED</x:v>
      </x:c>
      <x:c r="P138" s="31" t="str"/>
      <x:c r="Q138" s="31" t="str">
        <x:v>Pax Charge</x:v>
      </x:c>
      <x:c r="R138" s="31" t="str">
        <x:v>/Lotus/Upgrades/CosmeticEnhancers/Utility/BulletToBattery</x:v>
      </x:c>
      <x:c r="S138" s="62" t="str"/>
      <x:c r="T138" s="62" t="str"/>
      <x:c r="U138" s="31" t="str"/>
      <x:c r="V138" s="65"/>
      <x:c r="W138" s="31" t="str">
        <x:f>IF(AND(O138="COMPLETE",P138&lt;&gt;"",P138&lt;&gt;"DEFER"),"YES","NO")</x:f>
        <x:v>NO</x:v>
      </x:c>
      <x:c r="X138" s="31" t="str">
        <x:v>https://raw.githubusercontent.com/WFCD/warframe-items/f7c69c0786611df81214cabf588160d7af9cc80c/data/json/Arcanes.json</x:v>
      </x:c>
      <x:c r="Y138" s="31" t="str">
        <x:v>f40d0d19-c224-47f8-9ef2-c225f42e91d0</x:v>
      </x:c>
    </x:row>
    <x:row r="139">
      <x:c r="A139" s="31" t="str">
        <x:v>ARC-0132</x:v>
      </x:c>
      <x:c r="B139" s="31" t="str">
        <x:v>P2</x:v>
      </x:c>
      <x:c r="C139" s="31" t="str">
        <x:v>NO</x:v>
      </x:c>
      <x:c r="D139" s="31" t="str">
        <x:v>VALUE_MISMATCH</x:v>
      </x:c>
      <x:c r="E139" s="31" t="str">
        <x:v>EXACT_NORMALIZED_NAME</x:v>
      </x:c>
      <x:c r="F139" s="31" t="str">
        <x:v>224</x:v>
      </x:c>
      <x:c r="G139" s="31" t="str">
        <x:v>Pax Seeker</x:v>
      </x:c>
      <x:c r="H139" s="31" t="str">
        <x:v>Pax Seeker</x:v>
      </x:c>
      <x:c r="I139" s="31" t="str">
        <x:v>/Lotus/Upgrades/CosmeticEnhancers/Offensive/SeekerProjOnHeadshotKill</x:v>
      </x:c>
      <x:c r="J139" s="31" t="str">
        <x:v>VALID</x:v>
      </x:c>
      <x:c r="K139" s="31" t="str">
        <x:v>unique_name, equipment_type, introduced_update, effect_text</x:v>
      </x:c>
      <x:c r="L139" s="62" t="str">
        <x:v>unique_name: Gu=∅ | WFCD=/Lotus/Upgrades/CosmeticEnhancers/Offensive/SeekerProjOnHeadshotKill | reason=MISSING_OR_DIFFERENT_STABLE_ID
equipment_type: Gu=∅ | WFCD=Kitgun Arcane | legacy_subcategory=Pax; reason=EQUIPMENT_COMPATIBILITY_IS_SEPARATE_FROM_LEGACY_SUBCATEGORY
introduced_update: Gu=24.0 | WFCD=Update 24.0
effect_text: Gu=On kill: fires 3 homing projectiles at nearby enemies | WFCD=On Headshot Kill:\n4 projectiles burst from the target and seek the heads of nearby enemies. | comparison=HEURISTIC_TEXT_ONLY</x:v>
      </x:c>
      <x:c r="M139" s="62" t="str">
        <x:v>Batch-review the exact-name identity and provenance fields; no game launch is expected.</x:v>
      </x:c>
      <x:c r="N139" s="62" t="str">
        <x:v>Pinned WFCD payload and current Gu row.</x:v>
      </x:c>
      <x:c r="O139" s="31" t="str">
        <x:v>NOT_STARTED</x:v>
      </x:c>
      <x:c r="P139" s="31" t="str"/>
      <x:c r="Q139" s="31" t="str">
        <x:v>Pax Seeker</x:v>
      </x:c>
      <x:c r="R139" s="31" t="str">
        <x:v>/Lotus/Upgrades/CosmeticEnhancers/Offensive/SeekerProjOnHeadshotKill</x:v>
      </x:c>
      <x:c r="S139" s="62" t="str"/>
      <x:c r="T139" s="62" t="str"/>
      <x:c r="U139" s="31" t="str"/>
      <x:c r="V139" s="65"/>
      <x:c r="W139" s="31" t="str">
        <x:f>IF(AND(O139="COMPLETE",P139&lt;&gt;"",P139&lt;&gt;"DEFER"),"YES","NO")</x:f>
        <x:v>NO</x:v>
      </x:c>
      <x:c r="X139" s="31" t="str">
        <x:v>https://raw.githubusercontent.com/WFCD/warframe-items/f7c69c0786611df81214cabf588160d7af9cc80c/data/json/Arcanes.json</x:v>
      </x:c>
      <x:c r="Y139" s="31" t="str">
        <x:v>f40d0d19-c224-47f8-9ef2-c225f42e91d0</x:v>
      </x:c>
    </x:row>
    <x:row r="140">
      <x:c r="A140" s="31" t="str">
        <x:v>ARC-0133</x:v>
      </x:c>
      <x:c r="B140" s="31" t="str">
        <x:v>P2</x:v>
      </x:c>
      <x:c r="C140" s="31" t="str">
        <x:v>NO</x:v>
      </x:c>
      <x:c r="D140" s="31" t="str">
        <x:v>VALUE_MISMATCH</x:v>
      </x:c>
      <x:c r="E140" s="31" t="str">
        <x:v>EXACT_NORMALIZED_NAME</x:v>
      </x:c>
      <x:c r="F140" s="31" t="str">
        <x:v>225</x:v>
      </x:c>
      <x:c r="G140" s="31" t="str">
        <x:v>Pax Soar</x:v>
      </x:c>
      <x:c r="H140" s="31" t="str">
        <x:v>Pax Soar</x:v>
      </x:c>
      <x:c r="I140" s="31" t="str">
        <x:v>/Lotus/Upgrades/CosmeticEnhancers/Offensive/EyeInTheSky</x:v>
      </x:c>
      <x:c r="J140" s="31" t="str">
        <x:v>VALID</x:v>
      </x:c>
      <x:c r="K140" s="31" t="str">
        <x:v>unique_name, equipment_type, introduced_update, effect_text</x:v>
      </x:c>
      <x:c r="L140" s="62" t="str">
        <x:v>unique_name: Gu=∅ | WFCD=/Lotus/Upgrades/CosmeticEnhancers/Offensive/EyeInTheSky | reason=MISSING_OR_DIFFERENT_STABLE_ID
equipment_type: Gu=∅ | WFCD=Kitgun Arcane | legacy_subcategory=Pax; reason=EQUIPMENT_COMPATIBILITY_IS_SEPARATE_FROM_LEGACY_SUBCATEGORY
introduced_update: Gu=24.0 | WFCD=Update 24.0
effect_text: Gu=+60% Kitgun Damage while aim-gliding | WFCD=+50% Accuracy while Airborne
-50% Weapon Recoil while Airborne
+5s Aim Glide/Wall Latch Duration | comparison=HEURISTIC_TEXT_ONLY</x:v>
      </x:c>
      <x:c r="M140" s="62" t="str">
        <x:v>Batch-review the exact-name identity and provenance fields; no game launch is expected.</x:v>
      </x:c>
      <x:c r="N140" s="62" t="str">
        <x:v>Pinned WFCD payload and current Gu row.</x:v>
      </x:c>
      <x:c r="O140" s="31" t="str">
        <x:v>NOT_STARTED</x:v>
      </x:c>
      <x:c r="P140" s="31" t="str"/>
      <x:c r="Q140" s="31" t="str">
        <x:v>Pax Soar</x:v>
      </x:c>
      <x:c r="R140" s="31" t="str">
        <x:v>/Lotus/Upgrades/CosmeticEnhancers/Offensive/EyeInTheSky</x:v>
      </x:c>
      <x:c r="S140" s="62" t="str"/>
      <x:c r="T140" s="62" t="str"/>
      <x:c r="U140" s="31" t="str"/>
      <x:c r="V140" s="65"/>
      <x:c r="W140" s="31" t="str">
        <x:f>IF(AND(O140="COMPLETE",P140&lt;&gt;"",P140&lt;&gt;"DEFER"),"YES","NO")</x:f>
        <x:v>NO</x:v>
      </x:c>
      <x:c r="X140" s="31" t="str">
        <x:v>https://raw.githubusercontent.com/WFCD/warframe-items/f7c69c0786611df81214cabf588160d7af9cc80c/data/json/Arcanes.json</x:v>
      </x:c>
      <x:c r="Y140" s="31" t="str">
        <x:v>f40d0d19-c224-47f8-9ef2-c225f42e91d0</x:v>
      </x:c>
    </x:row>
    <x:row r="141">
      <x:c r="A141" s="31" t="str">
        <x:v>ARC-0134</x:v>
      </x:c>
      <x:c r="B141" s="31" t="str">
        <x:v>P2</x:v>
      </x:c>
      <x:c r="C141" s="31" t="str">
        <x:v>NO</x:v>
      </x:c>
      <x:c r="D141" s="31" t="str">
        <x:v>VALUE_MISMATCH</x:v>
      </x:c>
      <x:c r="E141" s="31" t="str">
        <x:v>EXACT_NORMALIZED_NAME</x:v>
      </x:c>
      <x:c r="F141" s="31" t="str">
        <x:v>179</x:v>
      </x:c>
      <x:c r="G141" s="31" t="str">
        <x:v>Primary Blight</x:v>
      </x:c>
      <x:c r="H141" s="31" t="str">
        <x:v>Primary Blight</x:v>
      </x:c>
      <x:c r="I141" s="31" t="str">
        <x:v>/Lotus/Upgrades/CosmeticEnhancers/Offensive/PrimaryHeadshotCritMultOnHeadshot</x:v>
      </x:c>
      <x:c r="J141" s="31" t="str">
        <x:v>VALID</x:v>
      </x:c>
      <x:c r="K141" s="31" t="str">
        <x:v>unique_name, equipment_type, introduced_update, effect_text</x:v>
      </x:c>
      <x:c r="L141" s="62" t="str">
        <x:v>unique_name: Gu=∅ | WFCD=/Lotus/Upgrades/CosmeticEnhancers/Offensive/PrimaryHeadshotCritMultOnHeadshot | reason=MISSING_OR_DIFFERENT_STABLE_ID
equipment_type: Gu=∅ | WFCD=Primary Arcane | legacy_subcategory=Steel Path; reason=EQUIPMENT_COMPATIBILITY_IS_SEPARATE_FROM_LEGACY_SUBCATEGORY
introduced_update: Gu=30.5 | WFCD=Update 33.5
effect_text: Gu=+60% Reload Speed for 12s | WFCD=On &lt;DT_POISON_COLOR&gt;Toxin Status Effect:\n+3.6% Critical Damage and +1.8% Multishot for 12s. Stacks up to 40x. | comparison=HEURISTIC_TEXT_ONLY</x:v>
      </x:c>
      <x:c r="M141" s="62" t="str">
        <x:v>Batch-review the exact-name identity and provenance fields; no game launch is expected.</x:v>
      </x:c>
      <x:c r="N141" s="62" t="str">
        <x:v>Pinned WFCD payload and current Gu row.</x:v>
      </x:c>
      <x:c r="O141" s="31" t="str">
        <x:v>NOT_STARTED</x:v>
      </x:c>
      <x:c r="P141" s="31" t="str"/>
      <x:c r="Q141" s="31" t="str">
        <x:v>Primary Blight</x:v>
      </x:c>
      <x:c r="R141" s="31" t="str">
        <x:v>/Lotus/Upgrades/CosmeticEnhancers/Offensive/PrimaryHeadshotCritMultOnHeadshot</x:v>
      </x:c>
      <x:c r="S141" s="62" t="str"/>
      <x:c r="T141" s="62" t="str"/>
      <x:c r="U141" s="31" t="str"/>
      <x:c r="V141" s="65"/>
      <x:c r="W141" s="31" t="str">
        <x:f>IF(AND(O141="COMPLETE",P141&lt;&gt;"",P141&lt;&gt;"DEFER"),"YES","NO")</x:f>
        <x:v>NO</x:v>
      </x:c>
      <x:c r="X141" s="31" t="str">
        <x:v>https://raw.githubusercontent.com/WFCD/warframe-items/f7c69c0786611df81214cabf588160d7af9cc80c/data/json/Arcanes.json</x:v>
      </x:c>
      <x:c r="Y141" s="31" t="str">
        <x:v>f40d0d19-c224-47f8-9ef2-c225f42e91d0</x:v>
      </x:c>
    </x:row>
    <x:row r="142">
      <x:c r="A142" s="31" t="str">
        <x:v>ARC-0135</x:v>
      </x:c>
      <x:c r="B142" s="31" t="str">
        <x:v>P2</x:v>
      </x:c>
      <x:c r="C142" s="31" t="str">
        <x:v>NO</x:v>
      </x:c>
      <x:c r="D142" s="31" t="str">
        <x:v>VALUE_MISMATCH</x:v>
      </x:c>
      <x:c r="E142" s="31" t="str">
        <x:v>EXACT_NORMALIZED_NAME</x:v>
      </x:c>
      <x:c r="F142" s="31" t="str">
        <x:v>385</x:v>
      </x:c>
      <x:c r="G142" s="31" t="str">
        <x:v>Primary Bulwark</x:v>
      </x:c>
      <x:c r="H142" s="31" t="str">
        <x:v>Primary Bulwark</x:v>
      </x:c>
      <x:c r="I142" s="31" t="str">
        <x:v>/Lotus/Upgrades/CosmeticEnhancers/Offensive/DamageForBonusArmour</x:v>
      </x:c>
      <x:c r="J142" s="31" t="str">
        <x:v>VALID</x:v>
      </x:c>
      <x:c r="K142" s="31" t="str">
        <x:v>unique_name, equipment_type, introduced_update, effect_text</x:v>
      </x:c>
      <x:c r="L142" s="62" t="str">
        <x:v>unique_name: Gu=∅ | WFCD=/Lotus/Upgrades/CosmeticEnhancers/Offensive/DamageForBonusArmour | reason=MISSING_OR_DIFFERENT_STABLE_ID
equipment_type: Gu=∅ | WFCD=Primary Arcane | legacy_subcategory=; reason=EQUIPMENT_COMPATIBILITY_IS_SEPARATE_FROM_LEGACY_SUBCATEGORY
introduced_update: Gu=∅ | WFCD=Update 41.0
effect_text: Gu=∅ | WFCD=Gain +1% damage for each unit of armor past 1,000, up to a max of +500%. | comparison=HEURISTIC_TEXT_ONLY</x:v>
      </x:c>
      <x:c r="M142" s="62" t="str">
        <x:v>Batch-review the exact-name identity and provenance fields; no game launch is expected.</x:v>
      </x:c>
      <x:c r="N142" s="62" t="str">
        <x:v>Pinned WFCD payload and current Gu row.</x:v>
      </x:c>
      <x:c r="O142" s="31" t="str">
        <x:v>NOT_STARTED</x:v>
      </x:c>
      <x:c r="P142" s="31" t="str"/>
      <x:c r="Q142" s="31" t="str">
        <x:v>Primary Bulwark</x:v>
      </x:c>
      <x:c r="R142" s="31" t="str">
        <x:v>/Lotus/Upgrades/CosmeticEnhancers/Offensive/DamageForBonusArmour</x:v>
      </x:c>
      <x:c r="S142" s="62" t="str"/>
      <x:c r="T142" s="62" t="str"/>
      <x:c r="U142" s="31" t="str"/>
      <x:c r="V142" s="65"/>
      <x:c r="W142" s="31" t="str">
        <x:f>IF(AND(O142="COMPLETE",P142&lt;&gt;"",P142&lt;&gt;"DEFER"),"YES","NO")</x:f>
        <x:v>NO</x:v>
      </x:c>
      <x:c r="X142" s="31" t="str">
        <x:v>https://raw.githubusercontent.com/WFCD/warframe-items/f7c69c0786611df81214cabf588160d7af9cc80c/data/json/Arcanes.json</x:v>
      </x:c>
      <x:c r="Y142" s="31" t="str">
        <x:v>f40d0d19-c224-47f8-9ef2-c225f42e91d0</x:v>
      </x:c>
    </x:row>
    <x:row r="143">
      <x:c r="A143" s="31" t="str">
        <x:v>ARC-0136</x:v>
      </x:c>
      <x:c r="B143" s="31" t="str">
        <x:v>P2</x:v>
      </x:c>
      <x:c r="C143" s="31" t="str">
        <x:v>NO</x:v>
      </x:c>
      <x:c r="D143" s="31" t="str">
        <x:v>VALUE_MISMATCH</x:v>
      </x:c>
      <x:c r="E143" s="31" t="str">
        <x:v>EXACT_NORMALIZED_NAME</x:v>
      </x:c>
      <x:c r="F143" s="31" t="str">
        <x:v>180</x:v>
      </x:c>
      <x:c r="G143" s="31" t="str">
        <x:v>Primary Crux</x:v>
      </x:c>
      <x:c r="H143" s="31" t="str">
        <x:v>Primary Crux</x:v>
      </x:c>
      <x:c r="I143" s="31" t="str">
        <x:v>/Lotus/Upgrades/CosmeticEnhancers/Offensive/StatusAndAmmoEfficiencyOnWeakpointHit</x:v>
      </x:c>
      <x:c r="J143" s="31" t="str">
        <x:v>VALID</x:v>
      </x:c>
      <x:c r="K143" s="31" t="str">
        <x:v>unique_name, equipment_type, introduced_update, effect_text</x:v>
      </x:c>
      <x:c r="L143" s="62" t="str">
        <x:v>unique_name: Gu=∅ | WFCD=/Lotus/Upgrades/CosmeticEnhancers/Offensive/StatusAndAmmoEfficiencyOnWeakpointHit | reason=MISSING_OR_DIFFERENT_STABLE_ID
equipment_type: Gu=∅ | WFCD=Primary Arcane | legacy_subcategory=Steel Path; reason=EQUIPMENT_COMPATIBILITY_IS_SEPARATE_FROM_LEGACY_SUBCATEGORY
introduced_update: Gu=30.5 | WFCD=Update 38.0
effect_text: Gu=+60% Primary Critical Damage for 20s | WFCD=On Weak Point Hit: Gain +30% Status Chance and +6% Ammo Efficiency for 10s. Stacks up to 10x. | comparison=HEURISTIC_TEXT_ONLY</x:v>
      </x:c>
      <x:c r="M143" s="62" t="str">
        <x:v>Batch-review the exact-name identity and provenance fields; no game launch is expected.</x:v>
      </x:c>
      <x:c r="N143" s="62" t="str">
        <x:v>Pinned WFCD payload and current Gu row.</x:v>
      </x:c>
      <x:c r="O143" s="31" t="str">
        <x:v>NOT_STARTED</x:v>
      </x:c>
      <x:c r="P143" s="31" t="str"/>
      <x:c r="Q143" s="31" t="str">
        <x:v>Primary Crux</x:v>
      </x:c>
      <x:c r="R143" s="31" t="str">
        <x:v>/Lotus/Upgrades/CosmeticEnhancers/Offensive/StatusAndAmmoEfficiencyOnWeakpointHit</x:v>
      </x:c>
      <x:c r="S143" s="62" t="str"/>
      <x:c r="T143" s="62" t="str"/>
      <x:c r="U143" s="31" t="str"/>
      <x:c r="V143" s="65"/>
      <x:c r="W143" s="31" t="str">
        <x:f>IF(AND(O143="COMPLETE",P143&lt;&gt;"",P143&lt;&gt;"DEFER"),"YES","NO")</x:f>
        <x:v>NO</x:v>
      </x:c>
      <x:c r="X143" s="31" t="str">
        <x:v>https://raw.githubusercontent.com/WFCD/warframe-items/f7c69c0786611df81214cabf588160d7af9cc80c/data/json/Arcanes.json</x:v>
      </x:c>
      <x:c r="Y143" s="31" t="str">
        <x:v>f40d0d19-c224-47f8-9ef2-c225f42e91d0</x:v>
      </x:c>
    </x:row>
    <x:row r="144">
      <x:c r="A144" s="31" t="str">
        <x:v>ARC-0137</x:v>
      </x:c>
      <x:c r="B144" s="31" t="str">
        <x:v>P2</x:v>
      </x:c>
      <x:c r="C144" s="31" t="str">
        <x:v>NO</x:v>
      </x:c>
      <x:c r="D144" s="31" t="str">
        <x:v>VALUE_MISMATCH</x:v>
      </x:c>
      <x:c r="E144" s="31" t="str">
        <x:v>EXACT_NORMALIZED_NAME</x:v>
      </x:c>
      <x:c r="F144" s="31" t="str">
        <x:v>178</x:v>
      </x:c>
      <x:c r="G144" s="31" t="str">
        <x:v>Primary Deadhead</x:v>
      </x:c>
      <x:c r="H144" s="31" t="str">
        <x:v>Primary Deadhead</x:v>
      </x:c>
      <x:c r="I144" s="31" t="str">
        <x:v>/Lotus/Upgrades/CosmeticEnhancers/Offensive/PrimaryDamageOnNoMelee</x:v>
      </x:c>
      <x:c r="J144" s="31" t="str">
        <x:v>VALID</x:v>
      </x:c>
      <x:c r="K144" s="31" t="str">
        <x:v>unique_name, equipment_type, introduced_update, effect_text</x:v>
      </x:c>
      <x:c r="L144" s="62" t="str">
        <x:v>unique_name: Gu=∅ | WFCD=/Lotus/Upgrades/CosmeticEnhancers/Offensive/PrimaryDamageOnNoMelee | reason=MISSING_OR_DIFFERENT_STABLE_ID
equipment_type: Gu=∅ | WFCD=Primary Arcane | legacy_subcategory=Steel Path; reason=EQUIPMENT_COMPATIBILITY_IS_SEPARATE_FROM_LEGACY_SUBCATEGORY
introduced_update: Gu=30.5 | WFCD=Update 30.5
effect_text: Gu=Stacking +10% Primary Damage &amp; +10% Headshot Dmg; max +60% | WFCD=On Headshot Kill:\n+120% Damage for 24s. Stacks up to 3x.\n+30% to Headshot Multiplier\n-50% Weapon Recoil
+30% to Headshot Multiplier
-50% Weapon Recoil | comparison=HEURISTIC_TEXT_ONLY</x:v>
      </x:c>
      <x:c r="M144" s="62" t="str">
        <x:v>Batch-review the exact-name identity and provenance fields; no game launch is expected.</x:v>
      </x:c>
      <x:c r="N144" s="62" t="str">
        <x:v>Pinned WFCD payload and current Gu row.</x:v>
      </x:c>
      <x:c r="O144" s="31" t="str">
        <x:v>NOT_STARTED</x:v>
      </x:c>
      <x:c r="P144" s="31" t="str"/>
      <x:c r="Q144" s="31" t="str">
        <x:v>Primary Deadhead</x:v>
      </x:c>
      <x:c r="R144" s="31" t="str">
        <x:v>/Lotus/Upgrades/CosmeticEnhancers/Offensive/PrimaryDamageOnNoMelee</x:v>
      </x:c>
      <x:c r="S144" s="62" t="str"/>
      <x:c r="T144" s="62" t="str"/>
      <x:c r="U144" s="31" t="str"/>
      <x:c r="V144" s="65"/>
      <x:c r="W144" s="31" t="str">
        <x:f>IF(AND(O144="COMPLETE",P144&lt;&gt;"",P144&lt;&gt;"DEFER"),"YES","NO")</x:f>
        <x:v>NO</x:v>
      </x:c>
      <x:c r="X144" s="31" t="str">
        <x:v>https://raw.githubusercontent.com/WFCD/warframe-items/f7c69c0786611df81214cabf588160d7af9cc80c/data/json/Arcanes.json</x:v>
      </x:c>
      <x:c r="Y144" s="31" t="str">
        <x:v>f40d0d19-c224-47f8-9ef2-c225f42e91d0</x:v>
      </x:c>
    </x:row>
    <x:row r="145">
      <x:c r="A145" s="31" t="str">
        <x:v>ARC-0138</x:v>
      </x:c>
      <x:c r="B145" s="31" t="str">
        <x:v>P2</x:v>
      </x:c>
      <x:c r="C145" s="31" t="str">
        <x:v>NO</x:v>
      </x:c>
      <x:c r="D145" s="31" t="str">
        <x:v>VALUE_MISMATCH</x:v>
      </x:c>
      <x:c r="E145" s="31" t="str">
        <x:v>EXACT_NORMALIZED_NAME</x:v>
      </x:c>
      <x:c r="F145" s="31" t="str">
        <x:v>391</x:v>
      </x:c>
      <x:c r="G145" s="31" t="str">
        <x:v>Primary Debilitate</x:v>
      </x:c>
      <x:c r="H145" s="31" t="str">
        <x:v>Primary Debilitate</x:v>
      </x:c>
      <x:c r="I145" s="31" t="str">
        <x:v>/Lotus/Upgrades/CosmeticEnhancers/Offensive/SplitStatusProcsOnStackedStatusHit</x:v>
      </x:c>
      <x:c r="J145" s="31" t="str">
        <x:v>VALID</x:v>
      </x:c>
      <x:c r="K145" s="31" t="str">
        <x:v>unique_name, equipment_type, introduced_update, effect_text</x:v>
      </x:c>
      <x:c r="L145" s="62" t="str">
        <x:v>unique_name: Gu=∅ | WFCD=/Lotus/Upgrades/CosmeticEnhancers/Offensive/SplitStatusProcsOnStackedStatusHit | reason=MISSING_OR_DIFFERENT_STABLE_ID
equipment_type: Gu=∅ | WFCD=Primary Arcane | legacy_subcategory=; reason=EQUIPMENT_COMPATIBILITY_IS_SEPARATE_FROM_LEGACY_SUBCATEGORY
introduced_update: Gu=∅ | WFCD=Update 41.0
effect_text: Gu=∅ | WFCD=If an enemy has 10 stacks of a combined Status Effect, inflicting the same Status Effect again has a 100% chance to inflict one of the base Status Effects it is composed of. | comparison=HEURISTIC_TEXT_ONLY</x:v>
      </x:c>
      <x:c r="M145" s="62" t="str">
        <x:v>Batch-review the exact-name identity and provenance fields; no game launch is expected.</x:v>
      </x:c>
      <x:c r="N145" s="62" t="str">
        <x:v>Pinned WFCD payload and current Gu row.</x:v>
      </x:c>
      <x:c r="O145" s="31" t="str">
        <x:v>NOT_STARTED</x:v>
      </x:c>
      <x:c r="P145" s="31" t="str"/>
      <x:c r="Q145" s="31" t="str">
        <x:v>Primary Debilitate</x:v>
      </x:c>
      <x:c r="R145" s="31" t="str">
        <x:v>/Lotus/Upgrades/CosmeticEnhancers/Offensive/SplitStatusProcsOnStackedStatusHit</x:v>
      </x:c>
      <x:c r="S145" s="62" t="str"/>
      <x:c r="T145" s="62" t="str"/>
      <x:c r="U145" s="31" t="str"/>
      <x:c r="V145" s="65"/>
      <x:c r="W145" s="31" t="str">
        <x:f>IF(AND(O145="COMPLETE",P145&lt;&gt;"",P145&lt;&gt;"DEFER"),"YES","NO")</x:f>
        <x:v>NO</x:v>
      </x:c>
      <x:c r="X145" s="31" t="str">
        <x:v>https://raw.githubusercontent.com/WFCD/warframe-items/f7c69c0786611df81214cabf588160d7af9cc80c/data/json/Arcanes.json</x:v>
      </x:c>
      <x:c r="Y145" s="31" t="str">
        <x:v>f40d0d19-c224-47f8-9ef2-c225f42e91d0</x:v>
      </x:c>
    </x:row>
    <x:row r="146">
      <x:c r="A146" s="31" t="str">
        <x:v>ARC-0139</x:v>
      </x:c>
      <x:c r="B146" s="31" t="str">
        <x:v>P2</x:v>
      </x:c>
      <x:c r="C146" s="31" t="str">
        <x:v>NO</x:v>
      </x:c>
      <x:c r="D146" s="31" t="str">
        <x:v>VALUE_MISMATCH</x:v>
      </x:c>
      <x:c r="E146" s="31" t="str">
        <x:v>EXACT_NORMALIZED_NAME</x:v>
      </x:c>
      <x:c r="F146" s="31" t="str">
        <x:v>89</x:v>
      </x:c>
      <x:c r="G146" s="31" t="str">
        <x:v>Primary Dexterity</x:v>
      </x:c>
      <x:c r="H146" s="31" t="str">
        <x:v>Primary Dexterity</x:v>
      </x:c>
      <x:c r="I146" s="31" t="str">
        <x:v>/Lotus/Upgrades/CosmeticEnhancers/Offensive/PrimaryDamageOnMeleeKill</x:v>
      </x:c>
      <x:c r="J146" s="31" t="str">
        <x:v>VALID</x:v>
      </x:c>
      <x:c r="K146" s="31" t="str">
        <x:v>unique_name, equipment_type, introduced_update, effect_text</x:v>
      </x:c>
      <x:c r="L146" s="62" t="str">
        <x:v>unique_name: Gu=∅ | WFCD=/Lotus/Upgrades/CosmeticEnhancers/Offensive/PrimaryDamageOnMeleeKill | reason=MISSING_OR_DIFFERENT_STABLE_ID
equipment_type: Gu=∅ | WFCD=Primary Arcane | legacy_subcategory=Steel Path; reason=EQUIPMENT_COMPATIBILITY_IS_SEPARATE_FROM_LEGACY_SUBCATEGORY
introduced_update: Gu=30.5 | WFCD=Update 30.5
effect_text: Gu=+60% Primary Damage for 12s | WFCD=On Melee Kill:\n+60% Damage for 20s. Stacks up to 6x.\n+7.5s Combo Duration
+7.5s Combo Duration | comparison=HEURISTIC_TEXT_ONLY</x:v>
      </x:c>
      <x:c r="M146" s="62" t="str">
        <x:v>Batch-review the exact-name identity and provenance fields; no game launch is expected.</x:v>
      </x:c>
      <x:c r="N146" s="62" t="str">
        <x:v>Pinned WFCD payload and current Gu row.</x:v>
      </x:c>
      <x:c r="O146" s="31" t="str">
        <x:v>NOT_STARTED</x:v>
      </x:c>
      <x:c r="P146" s="31" t="str"/>
      <x:c r="Q146" s="31" t="str">
        <x:v>Primary Dexterity</x:v>
      </x:c>
      <x:c r="R146" s="31" t="str">
        <x:v>/Lotus/Upgrades/CosmeticEnhancers/Offensive/PrimaryDamageOnMeleeKill</x:v>
      </x:c>
      <x:c r="S146" s="62" t="str"/>
      <x:c r="T146" s="62" t="str"/>
      <x:c r="U146" s="31" t="str"/>
      <x:c r="V146" s="65"/>
      <x:c r="W146" s="31" t="str">
        <x:f>IF(AND(O146="COMPLETE",P146&lt;&gt;"",P146&lt;&gt;"DEFER"),"YES","NO")</x:f>
        <x:v>NO</x:v>
      </x:c>
      <x:c r="X146" s="31" t="str">
        <x:v>https://raw.githubusercontent.com/WFCD/warframe-items/f7c69c0786611df81214cabf588160d7af9cc80c/data/json/Arcanes.json</x:v>
      </x:c>
      <x:c r="Y146" s="31" t="str">
        <x:v>f40d0d19-c224-47f8-9ef2-c225f42e91d0</x:v>
      </x:c>
    </x:row>
    <x:row r="147">
      <x:c r="A147" s="31" t="str">
        <x:v>ARC-0140</x:v>
      </x:c>
      <x:c r="B147" s="31" t="str">
        <x:v>P2</x:v>
      </x:c>
      <x:c r="C147" s="31" t="str">
        <x:v>NO</x:v>
      </x:c>
      <x:c r="D147" s="31" t="str">
        <x:v>VALUE_MISMATCH</x:v>
      </x:c>
      <x:c r="E147" s="31" t="str">
        <x:v>EXACT_NORMALIZED_NAME</x:v>
      </x:c>
      <x:c r="F147" s="31" t="str">
        <x:v>174</x:v>
      </x:c>
      <x:c r="G147" s="31" t="str">
        <x:v>Primary Exhilarate</x:v>
      </x:c>
      <x:c r="H147" s="31" t="str">
        <x:v>Primary Exhilarate</x:v>
      </x:c>
      <x:c r="I147" s="31" t="str">
        <x:v>/Lotus/Upgrades/CosmeticEnhancers/Offensive/PrimaryEnergyRegenOnImpactProc</x:v>
      </x:c>
      <x:c r="J147" s="31" t="str">
        <x:v>VALID</x:v>
      </x:c>
      <x:c r="K147" s="31" t="str">
        <x:v>unique_name, equipment_type, introduced_update, effect_text</x:v>
      </x:c>
      <x:c r="L147" s="62" t="str">
        <x:v>unique_name: Gu=∅ | WFCD=/Lotus/Upgrades/CosmeticEnhancers/Offensive/PrimaryEnergyRegenOnImpactProc | reason=MISSING_OR_DIFFERENT_STABLE_ID
equipment_type: Gu=∅ | WFCD=Primary Arcane | legacy_subcategory=Steel Path; reason=EQUIPMENT_COMPATIBILITY_IS_SEPARATE_FROM_LEGACY_SUBCATEGORY
introduced_update: Gu=30.5 | WFCD=Update 33.0
effect_text: Gu=Primary grants Energy; chance for extra | WFCD=On Weapon &lt;DT_IMPACT_COLOR&gt;Impact Status Effect:\n+1.2 Energy Regen/s for 10s. Stacks up to 3x. | comparison=HEURISTIC_TEXT_ONLY</x:v>
      </x:c>
      <x:c r="M147" s="62" t="str">
        <x:v>Batch-review the exact-name identity and provenance fields; no game launch is expected.</x:v>
      </x:c>
      <x:c r="N147" s="62" t="str">
        <x:v>Pinned WFCD payload and current Gu row.</x:v>
      </x:c>
      <x:c r="O147" s="31" t="str">
        <x:v>NOT_STARTED</x:v>
      </x:c>
      <x:c r="P147" s="31" t="str"/>
      <x:c r="Q147" s="31" t="str">
        <x:v>Primary Exhilarate</x:v>
      </x:c>
      <x:c r="R147" s="31" t="str">
        <x:v>/Lotus/Upgrades/CosmeticEnhancers/Offensive/PrimaryEnergyRegenOnImpactProc</x:v>
      </x:c>
      <x:c r="S147" s="62" t="str"/>
      <x:c r="T147" s="62" t="str"/>
      <x:c r="U147" s="31" t="str"/>
      <x:c r="V147" s="65"/>
      <x:c r="W147" s="31" t="str">
        <x:f>IF(AND(O147="COMPLETE",P147&lt;&gt;"",P147&lt;&gt;"DEFER"),"YES","NO")</x:f>
        <x:v>NO</x:v>
      </x:c>
      <x:c r="X147" s="31" t="str">
        <x:v>https://raw.githubusercontent.com/WFCD/warframe-items/f7c69c0786611df81214cabf588160d7af9cc80c/data/json/Arcanes.json</x:v>
      </x:c>
      <x:c r="Y147" s="31" t="str">
        <x:v>f40d0d19-c224-47f8-9ef2-c225f42e91d0</x:v>
      </x:c>
    </x:row>
    <x:row r="148">
      <x:c r="A148" s="31" t="str">
        <x:v>ARC-0141</x:v>
      </x:c>
      <x:c r="B148" s="31" t="str">
        <x:v>P2</x:v>
      </x:c>
      <x:c r="C148" s="31" t="str">
        <x:v>NO</x:v>
      </x:c>
      <x:c r="D148" s="31" t="str">
        <x:v>VALUE_MISMATCH</x:v>
      </x:c>
      <x:c r="E148" s="31" t="str">
        <x:v>EXACT_NORMALIZED_NAME</x:v>
      </x:c>
      <x:c r="F148" s="31" t="str">
        <x:v>175</x:v>
      </x:c>
      <x:c r="G148" s="31" t="str">
        <x:v>Primary Frostbite</x:v>
      </x:c>
      <x:c r="H148" s="31" t="str">
        <x:v>Primary Frostbite</x:v>
      </x:c>
      <x:c r="I148" s="31" t="str">
        <x:v>/Lotus/Upgrades/CosmeticEnhancers/Offensive/PrimaryCritDmgAndMultishotOnColdProc</x:v>
      </x:c>
      <x:c r="J148" s="31" t="str">
        <x:v>VALID</x:v>
      </x:c>
      <x:c r="K148" s="31" t="str">
        <x:v>unique_name, equipment_type, introduced_update, effect_text</x:v>
      </x:c>
      <x:c r="L148" s="62" t="str">
        <x:v>unique_name: Gu=∅ | WFCD=/Lotus/Upgrades/CosmeticEnhancers/Offensive/PrimaryCritDmgAndMultishotOnColdProc | reason=MISSING_OR_DIFFERENT_STABLE_ID
equipment_type: Gu=∅ | WFCD=Primary Arcane | legacy_subcategory=Steel Path; reason=EQUIPMENT_COMPATIBILITY_IS_SEPARATE_FROM_LEGACY_SUBCATEGORY
introduced_update: Gu=30.5 | WFCD=Update 32.2
effect_text: Gu=+60% Primary Crit Chance for 12s | WFCD=On &lt;DT_FREEZE_COLOR&gt;Cold Status Effect:\n+3% Critical Damage and +2.25% Multishot for 12s. Stacks up to 40x. | comparison=HEURISTIC_TEXT_ONLY</x:v>
      </x:c>
      <x:c r="M148" s="62" t="str">
        <x:v>Batch-review the exact-name identity and provenance fields; no game launch is expected.</x:v>
      </x:c>
      <x:c r="N148" s="62" t="str">
        <x:v>Pinned WFCD payload and current Gu row.</x:v>
      </x:c>
      <x:c r="O148" s="31" t="str">
        <x:v>NOT_STARTED</x:v>
      </x:c>
      <x:c r="P148" s="31" t="str"/>
      <x:c r="Q148" s="31" t="str">
        <x:v>Primary Frostbite</x:v>
      </x:c>
      <x:c r="R148" s="31" t="str">
        <x:v>/Lotus/Upgrades/CosmeticEnhancers/Offensive/PrimaryCritDmgAndMultishotOnColdProc</x:v>
      </x:c>
      <x:c r="S148" s="62" t="str"/>
      <x:c r="T148" s="62" t="str"/>
      <x:c r="U148" s="31" t="str"/>
      <x:c r="V148" s="65"/>
      <x:c r="W148" s="31" t="str">
        <x:f>IF(AND(O148="COMPLETE",P148&lt;&gt;"",P148&lt;&gt;"DEFER"),"YES","NO")</x:f>
        <x:v>NO</x:v>
      </x:c>
      <x:c r="X148" s="31" t="str">
        <x:v>https://raw.githubusercontent.com/WFCD/warframe-items/f7c69c0786611df81214cabf588160d7af9cc80c/data/json/Arcanes.json</x:v>
      </x:c>
      <x:c r="Y148" s="31" t="str">
        <x:v>f40d0d19-c224-47f8-9ef2-c225f42e91d0</x:v>
      </x:c>
    </x:row>
    <x:row r="149">
      <x:c r="A149" s="31" t="str">
        <x:v>ARC-0142</x:v>
      </x:c>
      <x:c r="B149" s="31" t="str">
        <x:v>P2</x:v>
      </x:c>
      <x:c r="C149" s="31" t="str">
        <x:v>NO</x:v>
      </x:c>
      <x:c r="D149" s="31" t="str">
        <x:v>VALUE_MISMATCH</x:v>
      </x:c>
      <x:c r="E149" s="31" t="str">
        <x:v>EXACT_NORMALIZED_NAME</x:v>
      </x:c>
      <x:c r="F149" s="31" t="str">
        <x:v>176</x:v>
      </x:c>
      <x:c r="G149" s="31" t="str">
        <x:v>Primary Merciless</x:v>
      </x:c>
      <x:c r="H149" s="31" t="str">
        <x:v>Primary Merciless</x:v>
      </x:c>
      <x:c r="I149" s="31" t="str">
        <x:v>/Lotus/Upgrades/CosmeticEnhancers/Offensive/PrimaryDamageOnKill</x:v>
      </x:c>
      <x:c r="J149" s="31" t="str">
        <x:v>VALID</x:v>
      </x:c>
      <x:c r="K149" s="31" t="str">
        <x:v>unique_name, equipment_type, introduced_update, effect_text</x:v>
      </x:c>
      <x:c r="L149" s="62" t="str">
        <x:v>unique_name: Gu=∅ | WFCD=/Lotus/Upgrades/CosmeticEnhancers/Offensive/PrimaryDamageOnKill | reason=MISSING_OR_DIFFERENT_STABLE_ID
equipment_type: Gu=∅ | WFCD=Primary Arcane | legacy_subcategory=Steel Path; reason=EQUIPMENT_COMPATIBILITY_IS_SEPARATE_FROM_LEGACY_SUBCATEGORY
introduced_update: Gu=30.5 | WFCD=Update 30.5
effect_text: Gu=Stacking +30% Primary Damage; max +150% for 20s | WFCD=On Kill:\n+30% Damage for 4s. Stacks up to 12x.\n+30% Reload Speed
+30% Reload Speed | comparison=HEURISTIC_TEXT_ONLY</x:v>
      </x:c>
      <x:c r="M149" s="62" t="str">
        <x:v>Batch-review the exact-name identity and provenance fields; no game launch is expected.</x:v>
      </x:c>
      <x:c r="N149" s="62" t="str">
        <x:v>Pinned WFCD payload and current Gu row.</x:v>
      </x:c>
      <x:c r="O149" s="31" t="str">
        <x:v>NOT_STARTED</x:v>
      </x:c>
      <x:c r="P149" s="31" t="str"/>
      <x:c r="Q149" s="31" t="str">
        <x:v>Primary Merciless</x:v>
      </x:c>
      <x:c r="R149" s="31" t="str">
        <x:v>/Lotus/Upgrades/CosmeticEnhancers/Offensive/PrimaryDamageOnKill</x:v>
      </x:c>
      <x:c r="S149" s="62" t="str"/>
      <x:c r="T149" s="62" t="str"/>
      <x:c r="U149" s="31" t="str"/>
      <x:c r="V149" s="65"/>
      <x:c r="W149" s="31" t="str">
        <x:f>IF(AND(O149="COMPLETE",P149&lt;&gt;"",P149&lt;&gt;"DEFER"),"YES","NO")</x:f>
        <x:v>NO</x:v>
      </x:c>
      <x:c r="X149" s="31" t="str">
        <x:v>https://raw.githubusercontent.com/WFCD/warframe-items/f7c69c0786611df81214cabf588160d7af9cc80c/data/json/Arcanes.json</x:v>
      </x:c>
      <x:c r="Y149" s="31" t="str">
        <x:v>f40d0d19-c224-47f8-9ef2-c225f42e91d0</x:v>
      </x:c>
    </x:row>
    <x:row r="150">
      <x:c r="A150" s="31" t="str">
        <x:v>ARC-0143</x:v>
      </x:c>
      <x:c r="B150" s="31" t="str">
        <x:v>P2</x:v>
      </x:c>
      <x:c r="C150" s="31" t="str">
        <x:v>NO</x:v>
      </x:c>
      <x:c r="D150" s="31" t="str">
        <x:v>VALUE_MISMATCH</x:v>
      </x:c>
      <x:c r="E150" s="31" t="str">
        <x:v>EXACT_NORMALIZED_NAME</x:v>
      </x:c>
      <x:c r="F150" s="31" t="str">
        <x:v>177</x:v>
      </x:c>
      <x:c r="G150" s="31" t="str">
        <x:v>Primary Obstruct</x:v>
      </x:c>
      <x:c r="H150" s="31" t="str">
        <x:v>Primary Obstruct</x:v>
      </x:c>
      <x:c r="I150" s="31" t="str">
        <x:v>/Lotus/Upgrades/CosmeticEnhancers/Offensive/PrimaryJamEnemyWeaponsOnMagneticProc</x:v>
      </x:c>
      <x:c r="J150" s="31" t="str">
        <x:v>VALID</x:v>
      </x:c>
      <x:c r="K150" s="31" t="str">
        <x:v>unique_name, equipment_type, introduced_update, effect_text</x:v>
      </x:c>
      <x:c r="L150" s="62" t="str">
        <x:v>unique_name: Gu=∅ | WFCD=/Lotus/Upgrades/CosmeticEnhancers/Offensive/PrimaryJamEnemyWeaponsOnMagneticProc | reason=MISSING_OR_DIFFERENT_STABLE_ID
equipment_type: Gu=∅ | WFCD=Primary Arcane | legacy_subcategory=Steel Path; reason=EQUIPMENT_COMPATIBILITY_IS_SEPARATE_FROM_LEGACY_SUBCATEGORY
introduced_update: Gu=30.5 | WFCD=Update 33.0
effect_text: Gu=60% chance to create a Null-Star on reload | WFCD=On Weapon &lt;DT_MAGNETIC_COLOR&gt;Magnetic Status Effect: Enemy weapons jam within 15m of target. Cooldown 10s. | comparison=HEURISTIC_TEXT_ONLY</x:v>
      </x:c>
      <x:c r="M150" s="62" t="str">
        <x:v>Batch-review the exact-name identity and provenance fields; no game launch is expected.</x:v>
      </x:c>
      <x:c r="N150" s="62" t="str">
        <x:v>Pinned WFCD payload and current Gu row.</x:v>
      </x:c>
      <x:c r="O150" s="31" t="str">
        <x:v>NOT_STARTED</x:v>
      </x:c>
      <x:c r="P150" s="31" t="str"/>
      <x:c r="Q150" s="31" t="str">
        <x:v>Primary Obstruct</x:v>
      </x:c>
      <x:c r="R150" s="31" t="str">
        <x:v>/Lotus/Upgrades/CosmeticEnhancers/Offensive/PrimaryJamEnemyWeaponsOnMagneticProc</x:v>
      </x:c>
      <x:c r="S150" s="62" t="str"/>
      <x:c r="T150" s="62" t="str"/>
      <x:c r="U150" s="31" t="str"/>
      <x:c r="V150" s="65"/>
      <x:c r="W150" s="31" t="str">
        <x:f>IF(AND(O150="COMPLETE",P150&lt;&gt;"",P150&lt;&gt;"DEFER"),"YES","NO")</x:f>
        <x:v>NO</x:v>
      </x:c>
      <x:c r="X150" s="31" t="str">
        <x:v>https://raw.githubusercontent.com/WFCD/warframe-items/f7c69c0786611df81214cabf588160d7af9cc80c/data/json/Arcanes.json</x:v>
      </x:c>
      <x:c r="Y150" s="31" t="str">
        <x:v>f40d0d19-c224-47f8-9ef2-c225f42e91d0</x:v>
      </x:c>
    </x:row>
    <x:row r="151">
      <x:c r="A151" s="31" t="str">
        <x:v>ARC-0144</x:v>
      </x:c>
      <x:c r="B151" s="31" t="str">
        <x:v>P2</x:v>
      </x:c>
      <x:c r="C151" s="31" t="str">
        <x:v>NO</x:v>
      </x:c>
      <x:c r="D151" s="31" t="str">
        <x:v>VALUE_MISMATCH</x:v>
      </x:c>
      <x:c r="E151" s="31" t="str">
        <x:v>EXACT_NORMALIZED_NAME</x:v>
      </x:c>
      <x:c r="F151" s="31" t="str">
        <x:v>392</x:v>
      </x:c>
      <x:c r="G151" s="31" t="str">
        <x:v>Primary Overcharge</x:v>
      </x:c>
      <x:c r="H151" s="31" t="str">
        <x:v>Primary Overcharge</x:v>
      </x:c>
      <x:c r="I151" s="31" t="str">
        <x:v>/Lotus/Upgrades/CosmeticEnhancers/Offensive/MultishotForMaxEnergy</x:v>
      </x:c>
      <x:c r="J151" s="31" t="str">
        <x:v>VALID</x:v>
      </x:c>
      <x:c r="K151" s="31" t="str">
        <x:v>unique_name, equipment_type, introduced_update, effect_text</x:v>
      </x:c>
      <x:c r="L151" s="62" t="str">
        <x:v>unique_name: Gu=∅ | WFCD=/Lotus/Upgrades/CosmeticEnhancers/Offensive/MultishotForMaxEnergy | reason=MISSING_OR_DIFFERENT_STABLE_ID
equipment_type: Gu=∅ | WFCD=Primary Arcane | legacy_subcategory=; reason=EQUIPMENT_COMPATIBILITY_IS_SEPARATE_FROM_LEGACY_SUBCATEGORY
introduced_update: Gu=∅ | WFCD=Update 41.0
effect_text: Gu=∅ | WFCD=While at or above 90% Energy: Gain 35% of Max Energy as Multishot, capped at 350%. | comparison=HEURISTIC_TEXT_ONLY</x:v>
      </x:c>
      <x:c r="M151" s="62" t="str">
        <x:v>Batch-review the exact-name identity and provenance fields; no game launch is expected.</x:v>
      </x:c>
      <x:c r="N151" s="62" t="str">
        <x:v>Pinned WFCD payload and current Gu row.</x:v>
      </x:c>
      <x:c r="O151" s="31" t="str">
        <x:v>NOT_STARTED</x:v>
      </x:c>
      <x:c r="P151" s="31" t="str"/>
      <x:c r="Q151" s="31" t="str">
        <x:v>Primary Overcharge</x:v>
      </x:c>
      <x:c r="R151" s="31" t="str">
        <x:v>/Lotus/Upgrades/CosmeticEnhancers/Offensive/MultishotForMaxEnergy</x:v>
      </x:c>
      <x:c r="S151" s="62" t="str"/>
      <x:c r="T151" s="62" t="str"/>
      <x:c r="U151" s="31" t="str"/>
      <x:c r="V151" s="65"/>
      <x:c r="W151" s="31" t="str">
        <x:f>IF(AND(O151="COMPLETE",P151&lt;&gt;"",P151&lt;&gt;"DEFER"),"YES","NO")</x:f>
        <x:v>NO</x:v>
      </x:c>
      <x:c r="X151" s="31" t="str">
        <x:v>https://raw.githubusercontent.com/WFCD/warframe-items/f7c69c0786611df81214cabf588160d7af9cc80c/data/json/Arcanes.json</x:v>
      </x:c>
      <x:c r="Y151" s="31" t="str">
        <x:v>f40d0d19-c224-47f8-9ef2-c225f42e91d0</x:v>
      </x:c>
    </x:row>
    <x:row r="152">
      <x:c r="A152" s="31" t="str">
        <x:v>ARC-0145</x:v>
      </x:c>
      <x:c r="B152" s="31" t="str">
        <x:v>P2</x:v>
      </x:c>
      <x:c r="C152" s="31" t="str">
        <x:v>NO</x:v>
      </x:c>
      <x:c r="D152" s="31" t="str">
        <x:v>VALUE_MISMATCH</x:v>
      </x:c>
      <x:c r="E152" s="31" t="str">
        <x:v>EXACT_NORMALIZED_NAME</x:v>
      </x:c>
      <x:c r="F152" s="31" t="str">
        <x:v>88</x:v>
      </x:c>
      <x:c r="G152" s="31" t="str">
        <x:v>Primary Plated Round</x:v>
      </x:c>
      <x:c r="H152" s="31" t="str">
        <x:v>Primary Plated Round</x:v>
      </x:c>
      <x:c r="I152" s="31" t="str">
        <x:v>/Lotus/Upgrades/CosmeticEnhancers/Offensive/PrimaryDamagePerAmmoOnReload</x:v>
      </x:c>
      <x:c r="J152" s="31" t="str">
        <x:v>VALID</x:v>
      </x:c>
      <x:c r="K152" s="31" t="str">
        <x:v>unique_name, equipment_type, introduced_update, effect_text</x:v>
      </x:c>
      <x:c r="L152" s="62" t="str">
        <x:v>unique_name: Gu=∅ | WFCD=/Lotus/Upgrades/CosmeticEnhancers/Offensive/PrimaryDamagePerAmmoOnReload | reason=MISSING_OR_DIFFERENT_STABLE_ID
equipment_type: Gu=∅ | WFCD=Primary Arcane | legacy_subcategory=Steel Path; reason=EQUIPMENT_COMPATIBILITY_IS_SEPARATE_FROM_LEGACY_SUBCATEGORY
introduced_update: Gu=30.5 | WFCD=Update 32.3
effect_text: Gu=+300% Primary Damage for 6s | WFCD=On Reload: Deal increased damage per round loaded based on max magazine size. Lasts for 10s. | comparison=HEURISTIC_TEXT_ONLY</x:v>
      </x:c>
      <x:c r="M152" s="62" t="str">
        <x:v>Batch-review the exact-name identity and provenance fields; no game launch is expected.</x:v>
      </x:c>
      <x:c r="N152" s="62" t="str">
        <x:v>Pinned WFCD payload and current Gu row.</x:v>
      </x:c>
      <x:c r="O152" s="31" t="str">
        <x:v>NOT_STARTED</x:v>
      </x:c>
      <x:c r="P152" s="31" t="str"/>
      <x:c r="Q152" s="31" t="str">
        <x:v>Primary Plated Round</x:v>
      </x:c>
      <x:c r="R152" s="31" t="str">
        <x:v>/Lotus/Upgrades/CosmeticEnhancers/Offensive/PrimaryDamagePerAmmoOnReload</x:v>
      </x:c>
      <x:c r="S152" s="62" t="str"/>
      <x:c r="T152" s="62" t="str"/>
      <x:c r="U152" s="31" t="str"/>
      <x:c r="V152" s="65"/>
      <x:c r="W152" s="31" t="str">
        <x:f>IF(AND(O152="COMPLETE",P152&lt;&gt;"",P152&lt;&gt;"DEFER"),"YES","NO")</x:f>
        <x:v>NO</x:v>
      </x:c>
      <x:c r="X152" s="31" t="str">
        <x:v>https://raw.githubusercontent.com/WFCD/warframe-items/f7c69c0786611df81214cabf588160d7af9cc80c/data/json/Arcanes.json</x:v>
      </x:c>
      <x:c r="Y152" s="31" t="str">
        <x:v>f40d0d19-c224-47f8-9ef2-c225f42e91d0</x:v>
      </x:c>
    </x:row>
    <x:row r="153">
      <x:c r="A153" s="31" t="str">
        <x:v>ARC-0146</x:v>
      </x:c>
      <x:c r="B153" s="31" t="str">
        <x:v>P2</x:v>
      </x:c>
      <x:c r="C153" s="31" t="str">
        <x:v>NO</x:v>
      </x:c>
      <x:c r="D153" s="31" t="str">
        <x:v>VALUE_MISMATCH</x:v>
      </x:c>
      <x:c r="E153" s="31" t="str">
        <x:v>EXACT_NORMALIZED_NAME</x:v>
      </x:c>
      <x:c r="F153" s="31" t="str">
        <x:v>380</x:v>
      </x:c>
      <x:c r="G153" s="31" t="str">
        <x:v>Residual Boils</x:v>
      </x:c>
      <x:c r="H153" s="31" t="str">
        <x:v>Residual Boils</x:v>
      </x:c>
      <x:c r="I153" s="31" t="str">
        <x:v>/Lotus/Upgrades/CosmeticEnhancers/Utility/BurningCystOnKill</x:v>
      </x:c>
      <x:c r="J153" s="31" t="str">
        <x:v>VALID</x:v>
      </x:c>
      <x:c r="K153" s="31" t="str">
        <x:v>unique_name, equipment_type, introduced_update, effect_text</x:v>
      </x:c>
      <x:c r="L153" s="62" t="str">
        <x:v>unique_name: Gu=∅ | WFCD=/Lotus/Upgrades/CosmeticEnhancers/Utility/BurningCystOnKill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spawn volatile hives for 12s that explode when enemies approach for 80 &lt;DT_FIRE_COLOR&gt;Heat Damage in 10m. Standing in the area applies &lt;DT_FIRE_COLOR&gt;Heat Damage type to Theorem Arcanes. | comparison=HEURISTIC_TEXT_ONLY</x:v>
      </x:c>
      <x:c r="M153" s="62" t="str">
        <x:v>Batch-review the exact-name identity and provenance fields; no game launch is expected.</x:v>
      </x:c>
      <x:c r="N153" s="62" t="str">
        <x:v>Pinned WFCD payload and current Gu row.</x:v>
      </x:c>
      <x:c r="O153" s="31" t="str">
        <x:v>NOT_STARTED</x:v>
      </x:c>
      <x:c r="P153" s="31" t="str"/>
      <x:c r="Q153" s="31" t="str">
        <x:v>Residual Boils</x:v>
      </x:c>
      <x:c r="R153" s="31" t="str">
        <x:v>/Lotus/Upgrades/CosmeticEnhancers/Utility/BurningCystOnKill</x:v>
      </x:c>
      <x:c r="S153" s="62" t="str"/>
      <x:c r="T153" s="62" t="str"/>
      <x:c r="U153" s="31" t="str"/>
      <x:c r="V153" s="65"/>
      <x:c r="W153" s="31" t="str">
        <x:f>IF(AND(O153="COMPLETE",P153&lt;&gt;"",P153&lt;&gt;"DEFER"),"YES","NO")</x:f>
        <x:v>NO</x:v>
      </x:c>
      <x:c r="X153" s="31" t="str">
        <x:v>https://raw.githubusercontent.com/WFCD/warframe-items/f7c69c0786611df81214cabf588160d7af9cc80c/data/json/Arcanes.json</x:v>
      </x:c>
      <x:c r="Y153" s="31" t="str">
        <x:v>f40d0d19-c224-47f8-9ef2-c225f42e91d0</x:v>
      </x:c>
    </x:row>
    <x:row r="154">
      <x:c r="A154" s="31" t="str">
        <x:v>ARC-0147</x:v>
      </x:c>
      <x:c r="B154" s="31" t="str">
        <x:v>P2</x:v>
      </x:c>
      <x:c r="C154" s="31" t="str">
        <x:v>NO</x:v>
      </x:c>
      <x:c r="D154" s="31" t="str">
        <x:v>VALUE_MISMATCH</x:v>
      </x:c>
      <x:c r="E154" s="31" t="str">
        <x:v>EXACT_NORMALIZED_NAME</x:v>
      </x:c>
      <x:c r="F154" s="31" t="str">
        <x:v>381</x:v>
      </x:c>
      <x:c r="G154" s="31" t="str">
        <x:v>Residual Malodor</x:v>
      </x:c>
      <x:c r="H154" s="31" t="str">
        <x:v>Residual Malodor</x:v>
      </x:c>
      <x:c r="I154" s="31" t="str">
        <x:v>/Lotus/Upgrades/CosmeticEnhancers/Utility/IceMistOnKill</x:v>
      </x:c>
      <x:c r="J154" s="31" t="str">
        <x:v>VALID</x:v>
      </x:c>
      <x:c r="K154" s="31" t="str">
        <x:v>unique_name, equipment_type, introduced_update, effect_text</x:v>
      </x:c>
      <x:c r="L154" s="62" t="str">
        <x:v>unique_name: Gu=∅ | WFCD=/Lotus/Upgrades/CosmeticEnhancers/Utility/IceMistOnKill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create a frigid mist for 12s, dealing 40 &lt;DT_FREEZE_COLOR&gt;Cold Damage/s. Standing in the area applies &lt;DT_FREEZE_COLOR&gt;Cold Damage to Theorem Arcanes. | comparison=HEURISTIC_TEXT_ONLY</x:v>
      </x:c>
      <x:c r="M154" s="62" t="str">
        <x:v>Batch-review the exact-name identity and provenance fields; no game launch is expected.</x:v>
      </x:c>
      <x:c r="N154" s="62" t="str">
        <x:v>Pinned WFCD payload and current Gu row.</x:v>
      </x:c>
      <x:c r="O154" s="31" t="str">
        <x:v>NOT_STARTED</x:v>
      </x:c>
      <x:c r="P154" s="31" t="str"/>
      <x:c r="Q154" s="31" t="str">
        <x:v>Residual Malodor</x:v>
      </x:c>
      <x:c r="R154" s="31" t="str">
        <x:v>/Lotus/Upgrades/CosmeticEnhancers/Utility/IceMistOnKill</x:v>
      </x:c>
      <x:c r="S154" s="62" t="str"/>
      <x:c r="T154" s="62" t="str"/>
      <x:c r="U154" s="31" t="str"/>
      <x:c r="V154" s="65"/>
      <x:c r="W154" s="31" t="str">
        <x:f>IF(AND(O154="COMPLETE",P154&lt;&gt;"",P154&lt;&gt;"DEFER"),"YES","NO")</x:f>
        <x:v>NO</x:v>
      </x:c>
      <x:c r="X154" s="31" t="str">
        <x:v>https://raw.githubusercontent.com/WFCD/warframe-items/f7c69c0786611df81214cabf588160d7af9cc80c/data/json/Arcanes.json</x:v>
      </x:c>
      <x:c r="Y154" s="31" t="str">
        <x:v>f40d0d19-c224-47f8-9ef2-c225f42e91d0</x:v>
      </x:c>
    </x:row>
    <x:row r="155">
      <x:c r="A155" s="31" t="str">
        <x:v>ARC-0148</x:v>
      </x:c>
      <x:c r="B155" s="31" t="str">
        <x:v>P2</x:v>
      </x:c>
      <x:c r="C155" s="31" t="str">
        <x:v>NO</x:v>
      </x:c>
      <x:c r="D155" s="31" t="str">
        <x:v>VALUE_MISMATCH</x:v>
      </x:c>
      <x:c r="E155" s="31" t="str">
        <x:v>EXACT_NORMALIZED_NAME</x:v>
      </x:c>
      <x:c r="F155" s="31" t="str">
        <x:v>382</x:v>
      </x:c>
      <x:c r="G155" s="31" t="str">
        <x:v>Residual Shock</x:v>
      </x:c>
      <x:c r="H155" s="31" t="str">
        <x:v>Residual Shock</x:v>
      </x:c>
      <x:c r="I155" s="31" t="str">
        <x:v>/Lotus/Upgrades/CosmeticEnhancers/Utility/LightningStrikeOnKill</x:v>
      </x:c>
      <x:c r="J155" s="31" t="str">
        <x:v>VALID</x:v>
      </x:c>
      <x:c r="K155" s="31" t="str">
        <x:v>unique_name, equipment_type, introduced_update, effect_text</x:v>
      </x:c>
      <x:c r="L155" s="62" t="str">
        <x:v>unique_name: Gu=∅ | WFCD=/Lotus/Upgrades/CosmeticEnhancers/Utility/LightningStrikeOnKill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spawn an electrified spike for 12s, dealing 200 &lt;DT_ELECTRICITY_COLOR&gt;Electricity Damage to enemies within 10m. Standing in the area applies &lt;DT_ELECTRICITY_COLOR&gt;Electricity Damage to Theorem Arcanes. | comparison=HEURISTIC_TEXT_ONLY</x:v>
      </x:c>
      <x:c r="M155" s="62" t="str">
        <x:v>Batch-review the exact-name identity and provenance fields; no game launch is expected.</x:v>
      </x:c>
      <x:c r="N155" s="62" t="str">
        <x:v>Pinned WFCD payload and current Gu row.</x:v>
      </x:c>
      <x:c r="O155" s="31" t="str">
        <x:v>NOT_STARTED</x:v>
      </x:c>
      <x:c r="P155" s="31" t="str"/>
      <x:c r="Q155" s="31" t="str">
        <x:v>Residual Shock</x:v>
      </x:c>
      <x:c r="R155" s="31" t="str">
        <x:v>/Lotus/Upgrades/CosmeticEnhancers/Utility/LightningStrikeOnKill</x:v>
      </x:c>
      <x:c r="S155" s="62" t="str"/>
      <x:c r="T155" s="62" t="str"/>
      <x:c r="U155" s="31" t="str"/>
      <x:c r="V155" s="65"/>
      <x:c r="W155" s="31" t="str">
        <x:f>IF(AND(O155="COMPLETE",P155&lt;&gt;"",P155&lt;&gt;"DEFER"),"YES","NO")</x:f>
        <x:v>NO</x:v>
      </x:c>
      <x:c r="X155" s="31" t="str">
        <x:v>https://raw.githubusercontent.com/WFCD/warframe-items/f7c69c0786611df81214cabf588160d7af9cc80c/data/json/Arcanes.json</x:v>
      </x:c>
      <x:c r="Y155" s="31" t="str">
        <x:v>f40d0d19-c224-47f8-9ef2-c225f42e91d0</x:v>
      </x:c>
    </x:row>
    <x:row r="156">
      <x:c r="A156" s="31" t="str">
        <x:v>ARC-0149</x:v>
      </x:c>
      <x:c r="B156" s="31" t="str">
        <x:v>P2</x:v>
      </x:c>
      <x:c r="C156" s="31" t="str">
        <x:v>NO</x:v>
      </x:c>
      <x:c r="D156" s="31" t="str">
        <x:v>VALUE_MISMATCH</x:v>
      </x:c>
      <x:c r="E156" s="31" t="str">
        <x:v>EXACT_NORMALIZED_NAME</x:v>
      </x:c>
      <x:c r="F156" s="31" t="str">
        <x:v>383</x:v>
      </x:c>
      <x:c r="G156" s="31" t="str">
        <x:v>Residual Viremia</x:v>
      </x:c>
      <x:c r="H156" s="31" t="str">
        <x:v>Residual Viremia</x:v>
      </x:c>
      <x:c r="I156" s="31" t="str">
        <x:v>/Lotus/Upgrades/CosmeticEnhancers/Utility/ToxicBloodOnKill</x:v>
      </x:c>
      <x:c r="J156" s="31" t="str">
        <x:v>VALID</x:v>
      </x:c>
      <x:c r="K156" s="31" t="str">
        <x:v>unique_name, equipment_type, introduced_update, effect_text</x:v>
      </x:c>
      <x:c r="L156" s="62" t="str">
        <x:v>unique_name: Gu=∅ | WFCD=/Lotus/Upgrades/CosmeticEnhancers/Utility/ToxicBloodOnKill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create pool of toxic blood for 12s, dealing 40 &lt;DT_POISON_COLOR&gt;Toxin Damage/s. Standing in the area applies the &lt;DT_POISON_COLOR&gt;Toxin Damage to Theorem Arcanes. | comparison=HEURISTIC_TEXT_ONLY</x:v>
      </x:c>
      <x:c r="M156" s="62" t="str">
        <x:v>Batch-review the exact-name identity and provenance fields; no game launch is expected.</x:v>
      </x:c>
      <x:c r="N156" s="62" t="str">
        <x:v>Pinned WFCD payload and current Gu row.</x:v>
      </x:c>
      <x:c r="O156" s="31" t="str">
        <x:v>NOT_STARTED</x:v>
      </x:c>
      <x:c r="P156" s="31" t="str"/>
      <x:c r="Q156" s="31" t="str">
        <x:v>Residual Viremia</x:v>
      </x:c>
      <x:c r="R156" s="31" t="str">
        <x:v>/Lotus/Upgrades/CosmeticEnhancers/Utility/ToxicBloodOnKill</x:v>
      </x:c>
      <x:c r="S156" s="62" t="str"/>
      <x:c r="T156" s="62" t="str"/>
      <x:c r="U156" s="31" t="str"/>
      <x:c r="V156" s="65"/>
      <x:c r="W156" s="31" t="str">
        <x:f>IF(AND(O156="COMPLETE",P156&lt;&gt;"",P156&lt;&gt;"DEFER"),"YES","NO")</x:f>
        <x:v>NO</x:v>
      </x:c>
      <x:c r="X156" s="31" t="str">
        <x:v>https://raw.githubusercontent.com/WFCD/warframe-items/f7c69c0786611df81214cabf588160d7af9cc80c/data/json/Arcanes.json</x:v>
      </x:c>
      <x:c r="Y156" s="31" t="str">
        <x:v>f40d0d19-c224-47f8-9ef2-c225f42e91d0</x:v>
      </x:c>
    </x:row>
    <x:row r="157">
      <x:c r="A157" s="31" t="str">
        <x:v>ARC-0150</x:v>
      </x:c>
      <x:c r="B157" s="31" t="str">
        <x:v>P2</x:v>
      </x:c>
      <x:c r="C157" s="31" t="str">
        <x:v>NO</x:v>
      </x:c>
      <x:c r="D157" s="31" t="str">
        <x:v>VALUE_MISMATCH</x:v>
      </x:c>
      <x:c r="E157" s="31" t="str">
        <x:v>EXACT_NORMALIZED_NAME</x:v>
      </x:c>
      <x:c r="F157" s="31" t="str">
        <x:v>191</x:v>
      </x:c>
      <x:c r="G157" s="31" t="str">
        <x:v>Secondary Deadhead</x:v>
      </x:c>
      <x:c r="H157" s="31" t="str">
        <x:v>Secondary Deadhead</x:v>
      </x:c>
      <x:c r="I157" s="31" t="str">
        <x:v>/Lotus/Upgrades/CosmeticEnhancers/Offensive/SecondaryDamageOnNoMelee</x:v>
      </x:c>
      <x:c r="J157" s="31" t="str">
        <x:v>VALID</x:v>
      </x:c>
      <x:c r="K157" s="31" t="str">
        <x:v>unique_name, equipment_type, introduced_update, effect_text</x:v>
      </x:c>
      <x:c r="L157" s="62" t="str">
        <x:v>unique_name: Gu=∅ | WFCD=/Lotus/Upgrades/CosmeticEnhancers/Offensive/SecondaryDamageOnNoMelee | reason=MISSING_OR_DIFFERENT_STABLE_ID
equipment_type: Gu=∅ | WFCD=Secondary Arcane | legacy_subcategory=Steel Path; reason=EQUIPMENT_COMPATIBILITY_IS_SEPARATE_FROM_LEGACY_SUBCATEGORY
introduced_update: Gu=30.5 | WFCD=Update 30.5
effect_text: Gu=Stacking +10% Secondary Damage &amp; Headshot; max +60% | WFCD=On Precision Headshot Kill:\n+120% Damage for 24s. Stacks up to 3x.\n+30% to Headshot Multiplier\n-50% Weapon Recoil
+30% to Headshot Multiplier
-50% Weapon Recoil | comparison=HEURISTIC_TEXT_ONLY</x:v>
      </x:c>
      <x:c r="M157" s="62" t="str">
        <x:v>Batch-review the exact-name identity and provenance fields; no game launch is expected.</x:v>
      </x:c>
      <x:c r="N157" s="62" t="str">
        <x:v>Pinned WFCD payload and current Gu row.</x:v>
      </x:c>
      <x:c r="O157" s="31" t="str">
        <x:v>NOT_STARTED</x:v>
      </x:c>
      <x:c r="P157" s="31" t="str"/>
      <x:c r="Q157" s="31" t="str">
        <x:v>Secondary Deadhead</x:v>
      </x:c>
      <x:c r="R157" s="31" t="str">
        <x:v>/Lotus/Upgrades/CosmeticEnhancers/Offensive/SecondaryDamageOnNoMelee</x:v>
      </x:c>
      <x:c r="S157" s="62" t="str"/>
      <x:c r="T157" s="62" t="str"/>
      <x:c r="U157" s="31" t="str"/>
      <x:c r="V157" s="65"/>
      <x:c r="W157" s="31" t="str">
        <x:f>IF(AND(O157="COMPLETE",P157&lt;&gt;"",P157&lt;&gt;"DEFER"),"YES","NO")</x:f>
        <x:v>NO</x:v>
      </x:c>
      <x:c r="X157" s="31" t="str">
        <x:v>https://raw.githubusercontent.com/WFCD/warframe-items/f7c69c0786611df81214cabf588160d7af9cc80c/data/json/Arcanes.json</x:v>
      </x:c>
      <x:c r="Y157" s="31" t="str">
        <x:v>f40d0d19-c224-47f8-9ef2-c225f42e91d0</x:v>
      </x:c>
    </x:row>
    <x:row r="158">
      <x:c r="A158" s="31" t="str">
        <x:v>ARC-0151</x:v>
      </x:c>
      <x:c r="B158" s="31" t="str">
        <x:v>P2</x:v>
      </x:c>
      <x:c r="C158" s="31" t="str">
        <x:v>NO</x:v>
      </x:c>
      <x:c r="D158" s="31" t="str">
        <x:v>VALUE_MISMATCH</x:v>
      </x:c>
      <x:c r="E158" s="31" t="str">
        <x:v>EXACT_NORMALIZED_NAME</x:v>
      </x:c>
      <x:c r="F158" s="31" t="str">
        <x:v>90</x:v>
      </x:c>
      <x:c r="G158" s="31" t="str">
        <x:v>Secondary Dexterity</x:v>
      </x:c>
      <x:c r="H158" s="31" t="str">
        <x:v>Secondary Dexterity</x:v>
      </x:c>
      <x:c r="I158" s="31" t="str">
        <x:v>/Lotus/Upgrades/CosmeticEnhancers/Offensive/SecondaryDamageOnMeleeKill</x:v>
      </x:c>
      <x:c r="J158" s="31" t="str">
        <x:v>VALID</x:v>
      </x:c>
      <x:c r="K158" s="31" t="str">
        <x:v>unique_name, equipment_type, introduced_update, effect_text</x:v>
      </x:c>
      <x:c r="L158" s="62" t="str">
        <x:v>unique_name: Gu=∅ | WFCD=/Lotus/Upgrades/CosmeticEnhancers/Offensive/SecondaryDamageOnMeleeKill | reason=MISSING_OR_DIFFERENT_STABLE_ID
equipment_type: Gu=∅ | WFCD=Secondary Arcane | legacy_subcategory=Steel Path; reason=EQUIPMENT_COMPATIBILITY_IS_SEPARATE_FROM_LEGACY_SUBCATEGORY
introduced_update: Gu=30.5 | WFCD=Update 30.5
effect_text: Gu=+60% Secondary Damage for 12s | WFCD=On Melee Kill:\n+60% Damage for 20s. Stacks up to 6x.\n+7.5s Combo Duration
+7.5s Combo Duration | comparison=HEURISTIC_TEXT_ONLY</x:v>
      </x:c>
      <x:c r="M158" s="62" t="str">
        <x:v>Batch-review the exact-name identity and provenance fields; no game launch is expected.</x:v>
      </x:c>
      <x:c r="N158" s="62" t="str">
        <x:v>Pinned WFCD payload and current Gu row.</x:v>
      </x:c>
      <x:c r="O158" s="31" t="str">
        <x:v>NOT_STARTED</x:v>
      </x:c>
      <x:c r="P158" s="31" t="str"/>
      <x:c r="Q158" s="31" t="str">
        <x:v>Secondary Dexterity</x:v>
      </x:c>
      <x:c r="R158" s="31" t="str">
        <x:v>/Lotus/Upgrades/CosmeticEnhancers/Offensive/SecondaryDamageOnMeleeKill</x:v>
      </x:c>
      <x:c r="S158" s="62" t="str"/>
      <x:c r="T158" s="62" t="str"/>
      <x:c r="U158" s="31" t="str"/>
      <x:c r="V158" s="65"/>
      <x:c r="W158" s="31" t="str">
        <x:f>IF(AND(O158="COMPLETE",P158&lt;&gt;"",P158&lt;&gt;"DEFER"),"YES","NO")</x:f>
        <x:v>NO</x:v>
      </x:c>
      <x:c r="X158" s="31" t="str">
        <x:v>https://raw.githubusercontent.com/WFCD/warframe-items/f7c69c0786611df81214cabf588160d7af9cc80c/data/json/Arcanes.json</x:v>
      </x:c>
      <x:c r="Y158" s="31" t="str">
        <x:v>f40d0d19-c224-47f8-9ef2-c225f42e91d0</x:v>
      </x:c>
    </x:row>
    <x:row r="159">
      <x:c r="A159" s="31" t="str">
        <x:v>ARC-0152</x:v>
      </x:c>
      <x:c r="B159" s="31" t="str">
        <x:v>P0</x:v>
      </x:c>
      <x:c r="C159" s="31" t="str">
        <x:v>YES</x:v>
      </x:c>
      <x:c r="D159" s="31" t="str">
        <x:v>VALUE_MISMATCH</x:v>
      </x:c>
      <x:c r="E159" s="31" t="str">
        <x:v>EXACT_NORMALIZED_NAME</x:v>
      </x:c>
      <x:c r="F159" s="31" t="str">
        <x:v>91</x:v>
      </x:c>
      <x:c r="G159" s="31" t="str">
        <x:v>Secondary Encumber</x:v>
      </x:c>
      <x:c r="H159" s="31" t="str">
        <x:v>Secondary Encumber</x:v>
      </x:c>
      <x:c r="I159" s="31" t="str">
        <x:v>/Lotus/Upgrades/CosmeticEnhancers/Utility/ExtraProcOnProc</x:v>
      </x:c>
      <x:c r="J159" s="31" t="str">
        <x:v>VALID</x:v>
      </x:c>
      <x:c r="K159" s="31" t="str">
        <x:v>unique_name, equipment_type, introduced_update, effect_text</x:v>
      </x:c>
      <x:c r="L159" s="62" t="str">
        <x:v>unique_name: Gu=∅ | WFCD=/Lotus/Upgrades/CosmeticEnhancers/Utility/ExtraProcOnProc | reason=MISSING_OR_DIFFERENT_STABLE_ID
equipment_type: Gu=∅ | WFCD=Secondary Arcane | legacy_subcategory=Steel Path; reason=EQUIPMENT_COMPATIBILITY_IS_SEPARATE_FROM_LEGACY_SUBCATEGORY
introduced_update: Gu=30.5 | WFCD=Update 32.3
effect_text: Gu=60% chance: proc Magnetic on enemies nearby | WFCD=On Status Effect: +24% chance to trigger a second random Status Effect. | comparison=HEURISTIC_TEXT_ONLY</x:v>
      </x:c>
      <x:c r="M159" s="62" t="str">
        <x:v>Compare Gu and current in-game effect text; choose upstream, retain Gu, or defer.</x:v>
      </x:c>
      <x:c r="N159" s="62" t="str">
        <x:v>In-game UI screenshot plus exact displayed name/type/rank/effect where available.</x:v>
      </x:c>
      <x:c r="O159" s="31" t="str">
        <x:v>NOT_STARTED</x:v>
      </x:c>
      <x:c r="P159" s="31" t="str"/>
      <x:c r="Q159" s="31" t="str">
        <x:v>Secondary Encumber</x:v>
      </x:c>
      <x:c r="R159" s="31" t="str">
        <x:v>/Lotus/Upgrades/CosmeticEnhancers/Utility/ExtraProcOnProc</x:v>
      </x:c>
      <x:c r="S159" s="62" t="str"/>
      <x:c r="T159" s="62" t="str"/>
      <x:c r="U159" s="31" t="str"/>
      <x:c r="V159" s="65"/>
      <x:c r="W159" s="31" t="str">
        <x:f>IF(AND(O159="COMPLETE",P159&lt;&gt;"",P159&lt;&gt;"DEFER"),"YES","NO")</x:f>
        <x:v>NO</x:v>
      </x:c>
      <x:c r="X159" s="31" t="str">
        <x:v>https://raw.githubusercontent.com/WFCD/warframe-items/f7c69c0786611df81214cabf588160d7af9cc80c/data/json/Arcanes.json</x:v>
      </x:c>
      <x:c r="Y159" s="31" t="str">
        <x:v>f40d0d19-c224-47f8-9ef2-c225f42e91d0</x:v>
      </x:c>
    </x:row>
    <x:row r="160">
      <x:c r="A160" s="31" t="str">
        <x:v>ARC-0153</x:v>
      </x:c>
      <x:c r="B160" s="31" t="str">
        <x:v>P2</x:v>
      </x:c>
      <x:c r="C160" s="31" t="str">
        <x:v>NO</x:v>
      </x:c>
      <x:c r="D160" s="31" t="str">
        <x:v>VALUE_MISMATCH</x:v>
      </x:c>
      <x:c r="E160" s="31" t="str">
        <x:v>EXACT_NORMALIZED_NAME</x:v>
      </x:c>
      <x:c r="F160" s="31" t="str">
        <x:v>393</x:v>
      </x:c>
      <x:c r="G160" s="31" t="str">
        <x:v>Secondary Enervate</x:v>
      </x:c>
      <x:c r="H160" s="31" t="str">
        <x:v>Secondary Enervate</x:v>
      </x:c>
      <x:c r="I160" s="31" t="str">
        <x:v>/Lotus/Upgrades/CosmeticEnhancers/Offensive/SecondaryCritOnHit</x:v>
      </x:c>
      <x:c r="J160" s="31" t="str">
        <x:v>VALID</x:v>
      </x:c>
      <x:c r="K160" s="31" t="str">
        <x:v>unique_name, equipment_type, introduced_update, effect_text</x:v>
      </x:c>
      <x:c r="L160" s="62" t="str">
        <x:v>unique_name: Gu=∅ | WFCD=/Lotus/Upgrades/CosmeticEnhancers/Offensive/SecondaryCritOnHit | reason=MISSING_OR_DIFFERENT_STABLE_ID
equipment_type: Gu=∅ | WFCD=Secondary Arcane | legacy_subcategory=; reason=EQUIPMENT_COMPATIBILITY_IS_SEPARATE_FROM_LEGACY_SUBCATEGORY
introduced_update: Gu=∅ | WFCD=Update 38.0
effect_text: Gu=∅ | WFCD=On Hit: Increase Critical Chance by 10%. Resets after 6 Big Critical Hit. | comparison=HEURISTIC_TEXT_ONLY</x:v>
      </x:c>
      <x:c r="M160" s="62" t="str">
        <x:v>Batch-review the exact-name identity and provenance fields; no game launch is expected.</x:v>
      </x:c>
      <x:c r="N160" s="62" t="str">
        <x:v>Pinned WFCD payload and current Gu row.</x:v>
      </x:c>
      <x:c r="O160" s="31" t="str">
        <x:v>NOT_STARTED</x:v>
      </x:c>
      <x:c r="P160" s="31" t="str"/>
      <x:c r="Q160" s="31" t="str">
        <x:v>Secondary Enervate</x:v>
      </x:c>
      <x:c r="R160" s="31" t="str">
        <x:v>/Lotus/Upgrades/CosmeticEnhancers/Offensive/SecondaryCritOnHit</x:v>
      </x:c>
      <x:c r="S160" s="62" t="str"/>
      <x:c r="T160" s="62" t="str"/>
      <x:c r="U160" s="31" t="str"/>
      <x:c r="V160" s="65"/>
      <x:c r="W160" s="31" t="str">
        <x:f>IF(AND(O160="COMPLETE",P160&lt;&gt;"",P160&lt;&gt;"DEFER"),"YES","NO")</x:f>
        <x:v>NO</x:v>
      </x:c>
      <x:c r="X160" s="31" t="str">
        <x:v>https://raw.githubusercontent.com/WFCD/warframe-items/f7c69c0786611df81214cabf588160d7af9cc80c/data/json/Arcanes.json</x:v>
      </x:c>
      <x:c r="Y160" s="31" t="str">
        <x:v>f40d0d19-c224-47f8-9ef2-c225f42e91d0</x:v>
      </x:c>
    </x:row>
    <x:row r="161">
      <x:c r="A161" s="31" t="str">
        <x:v>ARC-0154</x:v>
      </x:c>
      <x:c r="B161" s="31" t="str">
        <x:v>P2</x:v>
      </x:c>
      <x:c r="C161" s="31" t="str">
        <x:v>NO</x:v>
      </x:c>
      <x:c r="D161" s="31" t="str">
        <x:v>VALUE_MISMATCH</x:v>
      </x:c>
      <x:c r="E161" s="31" t="str">
        <x:v>EXACT_NORMALIZED_NAME</x:v>
      </x:c>
      <x:c r="F161" s="31" t="str">
        <x:v>394</x:v>
      </x:c>
      <x:c r="G161" s="31" t="str">
        <x:v>Secondary Fortifier</x:v>
      </x:c>
      <x:c r="H161" s="31" t="str">
        <x:v>Secondary Fortifier</x:v>
      </x:c>
      <x:c r="I161" s="31" t="str">
        <x:v>/Lotus/Upgrades/CosmeticEnhancers/Offensive/OverguardSteal</x:v>
      </x:c>
      <x:c r="J161" s="31" t="str">
        <x:v>VALID</x:v>
      </x:c>
      <x:c r="K161" s="31" t="str">
        <x:v>unique_name, equipment_type, introduced_update, effect_text</x:v>
      </x:c>
      <x:c r="L161" s="62" t="str">
        <x:v>unique_name: Gu=∅ | WFCD=/Lotus/Upgrades/CosmeticEnhancers/Offensive/OverguardSteal | reason=MISSING_OR_DIFFERENT_STABLE_ID
equipment_type: Gu=∅ | WFCD=Secondary Arcane | legacy_subcategory=; reason=EQUIPMENT_COMPATIBILITY_IS_SEPARATE_FROM_LEGACY_SUBCATEGORY
introduced_update: Gu=∅ | WFCD=Update 36.0
effect_text: Gu=∅ | WFCD=Gain 1 Overguard for every 100 Damage dealt to an enemy's Overguard.\nDeals x8 Extra Damage to Overguard.
Deals x8 Extra Damage to Overguard. | comparison=HEURISTIC_TEXT_ONLY</x:v>
      </x:c>
      <x:c r="M161" s="62" t="str">
        <x:v>Batch-review the exact-name identity and provenance fields; no game launch is expected.</x:v>
      </x:c>
      <x:c r="N161" s="62" t="str">
        <x:v>Pinned WFCD payload and current Gu row.</x:v>
      </x:c>
      <x:c r="O161" s="31" t="str">
        <x:v>NOT_STARTED</x:v>
      </x:c>
      <x:c r="P161" s="31" t="str"/>
      <x:c r="Q161" s="31" t="str">
        <x:v>Secondary Fortifier</x:v>
      </x:c>
      <x:c r="R161" s="31" t="str">
        <x:v>/Lotus/Upgrades/CosmeticEnhancers/Offensive/OverguardSteal</x:v>
      </x:c>
      <x:c r="S161" s="62" t="str"/>
      <x:c r="T161" s="62" t="str"/>
      <x:c r="U161" s="31" t="str"/>
      <x:c r="V161" s="65"/>
      <x:c r="W161" s="31" t="str">
        <x:f>IF(AND(O161="COMPLETE",P161&lt;&gt;"",P161&lt;&gt;"DEFER"),"YES","NO")</x:f>
        <x:v>NO</x:v>
      </x:c>
      <x:c r="X161" s="31" t="str">
        <x:v>https://raw.githubusercontent.com/WFCD/warframe-items/f7c69c0786611df81214cabf588160d7af9cc80c/data/json/Arcanes.json</x:v>
      </x:c>
      <x:c r="Y161" s="31" t="str">
        <x:v>f40d0d19-c224-47f8-9ef2-c225f42e91d0</x:v>
      </x:c>
    </x:row>
    <x:row r="162">
      <x:c r="A162" s="31" t="str">
        <x:v>ARC-0155</x:v>
      </x:c>
      <x:c r="B162" s="31" t="str">
        <x:v>P2</x:v>
      </x:c>
      <x:c r="C162" s="31" t="str">
        <x:v>NO</x:v>
      </x:c>
      <x:c r="D162" s="31" t="str">
        <x:v>VALUE_MISMATCH</x:v>
      </x:c>
      <x:c r="E162" s="31" t="str">
        <x:v>EXACT_NORMALIZED_NAME</x:v>
      </x:c>
      <x:c r="F162" s="31" t="str">
        <x:v>202</x:v>
      </x:c>
      <x:c r="G162" s="31" t="str">
        <x:v>Secondary Irradiate</x:v>
      </x:c>
      <x:c r="H162" s="31" t="str">
        <x:v>Secondary Irradiate</x:v>
      </x:c>
      <x:c r="I162" s="31" t="str">
        <x:v>/Lotus/Upgrades/CosmeticEnhancers/Offensive/RadialDamageOnMaxRadiationStackHit</x:v>
      </x:c>
      <x:c r="J162" s="31" t="str">
        <x:v>VALID</x:v>
      </x:c>
      <x:c r="K162" s="31" t="str">
        <x:v>unique_name, equipment_type, introduced_update, effect_text</x:v>
      </x:c>
      <x:c r="L162" s="62" t="str">
        <x:v>unique_name: Gu=∅ | WFCD=/Lotus/Upgrades/CosmeticEnhancers/Offensive/RadialDamageOnMaxRadiationStackHit | reason=MISSING_OR_DIFFERENT_STABLE_ID
equipment_type: Gu=∅ | WFCD=Secondary Arcane | legacy_subcategory=Descendia; reason=EQUIPMENT_COMPATIBILITY_IS_SEPARATE_FROM_LEGACY_SUBCATEGORY
introduced_update: Gu=41.0 | WFCD=Update 41.0
effect_text: Gu=Chance to proc Radiation on enemies hit | WFCD=On hitting enemies afflicted by 10 stacks of &lt;DT_RADIATION_COLOR&gt;Radiation: Deal 180% of the hit damage to enemies within 7m. | comparison=HEURISTIC_TEXT_ONLY</x:v>
      </x:c>
      <x:c r="M162" s="62" t="str">
        <x:v>Batch-review the exact-name identity and provenance fields; no game launch is expected.</x:v>
      </x:c>
      <x:c r="N162" s="62" t="str">
        <x:v>Pinned WFCD payload and current Gu row.</x:v>
      </x:c>
      <x:c r="O162" s="31" t="str">
        <x:v>NOT_STARTED</x:v>
      </x:c>
      <x:c r="P162" s="31" t="str"/>
      <x:c r="Q162" s="31" t="str">
        <x:v>Secondary Irradiate</x:v>
      </x:c>
      <x:c r="R162" s="31" t="str">
        <x:v>/Lotus/Upgrades/CosmeticEnhancers/Offensive/RadialDamageOnMaxRadiationStackHit</x:v>
      </x:c>
      <x:c r="S162" s="62" t="str"/>
      <x:c r="T162" s="62" t="str"/>
      <x:c r="U162" s="31" t="str"/>
      <x:c r="V162" s="65"/>
      <x:c r="W162" s="31" t="str">
        <x:f>IF(AND(O162="COMPLETE",P162&lt;&gt;"",P162&lt;&gt;"DEFER"),"YES","NO")</x:f>
        <x:v>NO</x:v>
      </x:c>
      <x:c r="X162" s="31" t="str">
        <x:v>https://raw.githubusercontent.com/WFCD/warframe-items/f7c69c0786611df81214cabf588160d7af9cc80c/data/json/Arcanes.json</x:v>
      </x:c>
      <x:c r="Y162" s="31" t="str">
        <x:v>f40d0d19-c224-47f8-9ef2-c225f42e91d0</x:v>
      </x:c>
    </x:row>
    <x:row r="163">
      <x:c r="A163" s="31" t="str">
        <x:v>ARC-0156</x:v>
      </x:c>
      <x:c r="B163" s="31" t="str">
        <x:v>P2</x:v>
      </x:c>
      <x:c r="C163" s="31" t="str">
        <x:v>NO</x:v>
      </x:c>
      <x:c r="D163" s="31" t="str">
        <x:v>VALUE_MISMATCH</x:v>
      </x:c>
      <x:c r="E163" s="31" t="str">
        <x:v>EXACT_NORMALIZED_NAME</x:v>
      </x:c>
      <x:c r="F163" s="31" t="str">
        <x:v>92</x:v>
      </x:c>
      <x:c r="G163" s="31" t="str">
        <x:v>Secondary Kinship</x:v>
      </x:c>
      <x:c r="H163" s="31" t="str">
        <x:v>Secondary Kinship</x:v>
      </x:c>
      <x:c r="I163" s="31" t="str">
        <x:v>/Lotus/Upgrades/CosmeticEnhancers/Offensive/SecondaryCritChancePerBuff</x:v>
      </x:c>
      <x:c r="J163" s="31" t="str">
        <x:v>VALID</x:v>
      </x:c>
      <x:c r="K163" s="31" t="str">
        <x:v>unique_name, equipment_type, introduced_update, effect_text</x:v>
      </x:c>
      <x:c r="L163" s="62" t="str">
        <x:v>unique_name: Gu=∅ | WFCD=/Lotus/Upgrades/CosmeticEnhancers/Offensive/SecondaryCritChancePerBuff | reason=MISSING_OR_DIFFERENT_STABLE_ID
equipment_type: Gu=∅ | WFCD=Secondary Arcane | legacy_subcategory=Steel Path; reason=EQUIPMENT_COMPATIBILITY_IS_SEPARATE_FROM_LEGACY_SUBCATEGORY
introduced_update: Gu=30.5 | WFCD=Update 32.3
effect_text: Gu=+90% Secondary Damage for 12s | WFCD=While Buffing Ally Warframes: +20% Critical Chance per buff | comparison=HEURISTIC_TEXT_ONLY</x:v>
      </x:c>
      <x:c r="M163" s="62" t="str">
        <x:v>Batch-review the exact-name identity and provenance fields; no game launch is expected.</x:v>
      </x:c>
      <x:c r="N163" s="62" t="str">
        <x:v>Pinned WFCD payload and current Gu row.</x:v>
      </x:c>
      <x:c r="O163" s="31" t="str">
        <x:v>NOT_STARTED</x:v>
      </x:c>
      <x:c r="P163" s="31" t="str"/>
      <x:c r="Q163" s="31" t="str">
        <x:v>Secondary Kinship</x:v>
      </x:c>
      <x:c r="R163" s="31" t="str">
        <x:v>/Lotus/Upgrades/CosmeticEnhancers/Offensive/SecondaryCritChancePerBuff</x:v>
      </x:c>
      <x:c r="S163" s="62" t="str"/>
      <x:c r="T163" s="62" t="str"/>
      <x:c r="U163" s="31" t="str"/>
      <x:c r="V163" s="65"/>
      <x:c r="W163" s="31" t="str">
        <x:f>IF(AND(O163="COMPLETE",P163&lt;&gt;"",P163&lt;&gt;"DEFER"),"YES","NO")</x:f>
        <x:v>NO</x:v>
      </x:c>
      <x:c r="X163" s="31" t="str">
        <x:v>https://raw.githubusercontent.com/WFCD/warframe-items/f7c69c0786611df81214cabf588160d7af9cc80c/data/json/Arcanes.json</x:v>
      </x:c>
      <x:c r="Y163" s="31" t="str">
        <x:v>f40d0d19-c224-47f8-9ef2-c225f42e91d0</x:v>
      </x:c>
    </x:row>
    <x:row r="164">
      <x:c r="A164" s="31" t="str">
        <x:v>ARC-0157</x:v>
      </x:c>
      <x:c r="B164" s="31" t="str">
        <x:v>P2</x:v>
      </x:c>
      <x:c r="C164" s="31" t="str">
        <x:v>NO</x:v>
      </x:c>
      <x:c r="D164" s="31" t="str">
        <x:v>VALUE_MISMATCH</x:v>
      </x:c>
      <x:c r="E164" s="31" t="str">
        <x:v>EXACT_NORMALIZED_NAME</x:v>
      </x:c>
      <x:c r="F164" s="31" t="str">
        <x:v>189</x:v>
      </x:c>
      <x:c r="G164" s="31" t="str">
        <x:v>Secondary Merciless</x:v>
      </x:c>
      <x:c r="H164" s="31" t="str">
        <x:v>Secondary Merciless</x:v>
      </x:c>
      <x:c r="I164" s="31" t="str">
        <x:v>/Lotus/Upgrades/CosmeticEnhancers/Offensive/SecondaryDamageOnKill</x:v>
      </x:c>
      <x:c r="J164" s="31" t="str">
        <x:v>VALID</x:v>
      </x:c>
      <x:c r="K164" s="31" t="str">
        <x:v>unique_name, equipment_type, introduced_update, effect_text</x:v>
      </x:c>
      <x:c r="L164" s="62" t="str">
        <x:v>unique_name: Gu=∅ | WFCD=/Lotus/Upgrades/CosmeticEnhancers/Offensive/SecondaryDamageOnKill | reason=MISSING_OR_DIFFERENT_STABLE_ID
equipment_type: Gu=∅ | WFCD=Secondary Arcane | legacy_subcategory=Steel Path; reason=EQUIPMENT_COMPATIBILITY_IS_SEPARATE_FROM_LEGACY_SUBCATEGORY
introduced_update: Gu=30.5 | WFCD=Update 30.5
effect_text: Gu=Stacking +30% Secondary Damage; max +150% for 20s | WFCD=On Kill:\n+30% Damage for 4s. Stacks up to 12x.\n+30% Reload Speed
+30% Reload Speed | comparison=HEURISTIC_TEXT_ONLY</x:v>
      </x:c>
      <x:c r="M164" s="62" t="str">
        <x:v>Batch-review the exact-name identity and provenance fields; no game launch is expected.</x:v>
      </x:c>
      <x:c r="N164" s="62" t="str">
        <x:v>Pinned WFCD payload and current Gu row.</x:v>
      </x:c>
      <x:c r="O164" s="31" t="str">
        <x:v>NOT_STARTED</x:v>
      </x:c>
      <x:c r="P164" s="31" t="str"/>
      <x:c r="Q164" s="31" t="str">
        <x:v>Secondary Merciless</x:v>
      </x:c>
      <x:c r="R164" s="31" t="str">
        <x:v>/Lotus/Upgrades/CosmeticEnhancers/Offensive/SecondaryDamageOnKill</x:v>
      </x:c>
      <x:c r="S164" s="62" t="str"/>
      <x:c r="T164" s="62" t="str"/>
      <x:c r="U164" s="31" t="str"/>
      <x:c r="V164" s="65"/>
      <x:c r="W164" s="31" t="str">
        <x:f>IF(AND(O164="COMPLETE",P164&lt;&gt;"",P164&lt;&gt;"DEFER"),"YES","NO")</x:f>
        <x:v>NO</x:v>
      </x:c>
      <x:c r="X164" s="31" t="str">
        <x:v>https://raw.githubusercontent.com/WFCD/warframe-items/f7c69c0786611df81214cabf588160d7af9cc80c/data/json/Arcanes.json</x:v>
      </x:c>
      <x:c r="Y164" s="31" t="str">
        <x:v>f40d0d19-c224-47f8-9ef2-c225f42e91d0</x:v>
      </x:c>
    </x:row>
    <x:row r="165">
      <x:c r="A165" s="31" t="str">
        <x:v>ARC-0158</x:v>
      </x:c>
      <x:c r="B165" s="31" t="str">
        <x:v>P2</x:v>
      </x:c>
      <x:c r="C165" s="31" t="str">
        <x:v>NO</x:v>
      </x:c>
      <x:c r="D165" s="31" t="str">
        <x:v>VALUE_MISMATCH</x:v>
      </x:c>
      <x:c r="E165" s="31" t="str">
        <x:v>EXACT_NORMALIZED_NAME</x:v>
      </x:c>
      <x:c r="F165" s="31" t="str">
        <x:v>190</x:v>
      </x:c>
      <x:c r="G165" s="31" t="str">
        <x:v>Secondary Outburst</x:v>
      </x:c>
      <x:c r="H165" s="31" t="str">
        <x:v>Secondary Outburst</x:v>
      </x:c>
      <x:c r="I165" s="31" t="str">
        <x:v>/Lotus/Upgrades/CosmeticEnhancers/Offensive/MultishotForCombo</x:v>
      </x:c>
      <x:c r="J165" s="31" t="str">
        <x:v>VALID</x:v>
      </x:c>
      <x:c r="K165" s="31" t="str">
        <x:v>unique_name, equipment_type, introduced_update, effect_text</x:v>
      </x:c>
      <x:c r="L165" s="62" t="str">
        <x:v>unique_name: Gu=∅ | WFCD=/Lotus/Upgrades/CosmeticEnhancers/Offensive/MultishotForCombo | reason=MISSING_OR_DIFFERENT_STABLE_ID
equipment_type: Gu=∅ | WFCD=Secondary Arcane | legacy_subcategory=Steel Path; reason=EQUIPMENT_COMPATIBILITY_IS_SEPARATE_FROM_LEGACY_SUBCATEGORY
introduced_update: Gu=30.5 | WFCD=Update 33.5
effect_text: Gu=+60% Secondary Damage for 12s | WFCD=On swapping to Secondary Weapon, consume all Combo Multipliers to increase Secondary Weapon Critical Chance and Critical Damage by 20% per Combo consumed for 30s. | comparison=HEURISTIC_TEXT_ONLY</x:v>
      </x:c>
      <x:c r="M165" s="62" t="str">
        <x:v>Batch-review the exact-name identity and provenance fields; no game launch is expected.</x:v>
      </x:c>
      <x:c r="N165" s="62" t="str">
        <x:v>Pinned WFCD payload and current Gu row.</x:v>
      </x:c>
      <x:c r="O165" s="31" t="str">
        <x:v>NOT_STARTED</x:v>
      </x:c>
      <x:c r="P165" s="31" t="str"/>
      <x:c r="Q165" s="31" t="str">
        <x:v>Secondary Outburst</x:v>
      </x:c>
      <x:c r="R165" s="31" t="str">
        <x:v>/Lotus/Upgrades/CosmeticEnhancers/Offensive/MultishotForCombo</x:v>
      </x:c>
      <x:c r="S165" s="62" t="str"/>
      <x:c r="T165" s="62" t="str"/>
      <x:c r="U165" s="31" t="str"/>
      <x:c r="V165" s="65"/>
      <x:c r="W165" s="31" t="str">
        <x:f>IF(AND(O165="COMPLETE",P165&lt;&gt;"",P165&lt;&gt;"DEFER"),"YES","NO")</x:f>
        <x:v>NO</x:v>
      </x:c>
      <x:c r="X165" s="31" t="str">
        <x:v>https://raw.githubusercontent.com/WFCD/warframe-items/f7c69c0786611df81214cabf588160d7af9cc80c/data/json/Arcanes.json</x:v>
      </x:c>
      <x:c r="Y165" s="31" t="str">
        <x:v>f40d0d19-c224-47f8-9ef2-c225f42e91d0</x:v>
      </x:c>
    </x:row>
    <x:row r="166">
      <x:c r="A166" s="31" t="str">
        <x:v>ARC-0159</x:v>
      </x:c>
      <x:c r="B166" s="31" t="str">
        <x:v>P2</x:v>
      </x:c>
      <x:c r="C166" s="31" t="str">
        <x:v>NO</x:v>
      </x:c>
      <x:c r="D166" s="31" t="str">
        <x:v>VALUE_MISMATCH</x:v>
      </x:c>
      <x:c r="E166" s="31" t="str">
        <x:v>EXACT_NORMALIZED_NAME</x:v>
      </x:c>
      <x:c r="F166" s="31" t="str">
        <x:v>395</x:v>
      </x:c>
      <x:c r="G166" s="31" t="str">
        <x:v>Secondary Shiver</x:v>
      </x:c>
      <x:c r="H166" s="31" t="str">
        <x:v>Secondary Shiver</x:v>
      </x:c>
      <x:c r="I166" s="31" t="str">
        <x:v>/Lotus/Upgrades/CosmeticEnhancers/Offensive/SecondaryExtraDamagePerFreezeStack</x:v>
      </x:c>
      <x:c r="J166" s="31" t="str">
        <x:v>VALID</x:v>
      </x:c>
      <x:c r="K166" s="31" t="str">
        <x:v>unique_name, equipment_type, introduced_update, effect_text</x:v>
      </x:c>
      <x:c r="L166" s="62" t="str">
        <x:v>unique_name: Gu=∅ | WFCD=/Lotus/Upgrades/CosmeticEnhancers/Offensive/SecondaryExtraDamagePerFreezeStack | reason=MISSING_OR_DIFFERENT_STABLE_ID
equipment_type: Gu=∅ | WFCD=Secondary Arcane | legacy_subcategory=; reason=EQUIPMENT_COMPATIBILITY_IS_SEPARATE_FROM_LEGACY_SUBCATEGORY
introduced_update: Gu=∅ | WFCD=Update 33.0
effect_text: Gu=∅ | WFCD=Enemies take +45% damage per &lt;DT_FREEZE_COLOR&gt;Cold Status | comparison=HEURISTIC_TEXT_ONLY</x:v>
      </x:c>
      <x:c r="M166" s="62" t="str">
        <x:v>Batch-review the exact-name identity and provenance fields; no game launch is expected.</x:v>
      </x:c>
      <x:c r="N166" s="62" t="str">
        <x:v>Pinned WFCD payload and current Gu row.</x:v>
      </x:c>
      <x:c r="O166" s="31" t="str">
        <x:v>NOT_STARTED</x:v>
      </x:c>
      <x:c r="P166" s="31" t="str"/>
      <x:c r="Q166" s="31" t="str">
        <x:v>Secondary Shiver</x:v>
      </x:c>
      <x:c r="R166" s="31" t="str">
        <x:v>/Lotus/Upgrades/CosmeticEnhancers/Offensive/SecondaryExtraDamagePerFreezeStack</x:v>
      </x:c>
      <x:c r="S166" s="62" t="str"/>
      <x:c r="T166" s="62" t="str"/>
      <x:c r="U166" s="31" t="str"/>
      <x:c r="V166" s="65"/>
      <x:c r="W166" s="31" t="str">
        <x:f>IF(AND(O166="COMPLETE",P166&lt;&gt;"",P166&lt;&gt;"DEFER"),"YES","NO")</x:f>
        <x:v>NO</x:v>
      </x:c>
      <x:c r="X166" s="31" t="str">
        <x:v>https://raw.githubusercontent.com/WFCD/warframe-items/f7c69c0786611df81214cabf588160d7af9cc80c/data/json/Arcanes.json</x:v>
      </x:c>
      <x:c r="Y166" s="31" t="str">
        <x:v>f40d0d19-c224-47f8-9ef2-c225f42e91d0</x:v>
      </x:c>
    </x:row>
    <x:row r="167">
      <x:c r="A167" s="31" t="str">
        <x:v>ARC-0160</x:v>
      </x:c>
      <x:c r="B167" s="31" t="str">
        <x:v>P2</x:v>
      </x:c>
      <x:c r="C167" s="31" t="str">
        <x:v>NO</x:v>
      </x:c>
      <x:c r="D167" s="31" t="str">
        <x:v>VALUE_MISMATCH</x:v>
      </x:c>
      <x:c r="E167" s="31" t="str">
        <x:v>EXACT_NORMALIZED_NAME</x:v>
      </x:c>
      <x:c r="F167" s="31" t="str">
        <x:v>396</x:v>
      </x:c>
      <x:c r="G167" s="31" t="str">
        <x:v>Secondary Surge</x:v>
      </x:c>
      <x:c r="H167" s="31" t="str">
        <x:v>Secondary Surge</x:v>
      </x:c>
      <x:c r="I167" s="31" t="str">
        <x:v>/Lotus/Upgrades/CosmeticEnhancers/Offensive/BonusDamageNextShotForCurEnergy</x:v>
      </x:c>
      <x:c r="J167" s="31" t="str">
        <x:v>VALID</x:v>
      </x:c>
      <x:c r="K167" s="31" t="str">
        <x:v>unique_name, equipment_type, introduced_update, effect_text</x:v>
      </x:c>
      <x:c r="L167" s="62" t="str">
        <x:v>unique_name: Gu=∅ | WFCD=/Lotus/Upgrades/CosmeticEnhancers/Offensive/BonusDamageNextShotForCurEnergy | reason=MISSING_OR_DIFFERENT_STABLE_ID
equipment_type: Gu=∅ | WFCD=Secondary Arcane | legacy_subcategory=; reason=EQUIPMENT_COMPATIBILITY_IS_SEPARATE_FROM_LEGACY_SUBCATEGORY
introduced_update: Gu=∅ | WFCD=Update 36.0
effect_text: Gu=∅ | WFCD=On Ability Cast: Next shot gains a Damage Multiplier for every 200 current Energy, up to x8. | comparison=HEURISTIC_TEXT_ONLY</x:v>
      </x:c>
      <x:c r="M167" s="62" t="str">
        <x:v>Batch-review the exact-name identity and provenance fields; no game launch is expected.</x:v>
      </x:c>
      <x:c r="N167" s="62" t="str">
        <x:v>Pinned WFCD payload and current Gu row.</x:v>
      </x:c>
      <x:c r="O167" s="31" t="str">
        <x:v>NOT_STARTED</x:v>
      </x:c>
      <x:c r="P167" s="31" t="str"/>
      <x:c r="Q167" s="31" t="str">
        <x:v>Secondary Surge</x:v>
      </x:c>
      <x:c r="R167" s="31" t="str">
        <x:v>/Lotus/Upgrades/CosmeticEnhancers/Offensive/BonusDamageNextShotForCurEnergy</x:v>
      </x:c>
      <x:c r="S167" s="62" t="str"/>
      <x:c r="T167" s="62" t="str"/>
      <x:c r="U167" s="31" t="str"/>
      <x:c r="V167" s="65"/>
      <x:c r="W167" s="31" t="str">
        <x:f>IF(AND(O167="COMPLETE",P167&lt;&gt;"",P167&lt;&gt;"DEFER"),"YES","NO")</x:f>
        <x:v>NO</x:v>
      </x:c>
      <x:c r="X167" s="31" t="str">
        <x:v>https://raw.githubusercontent.com/WFCD/warframe-items/f7c69c0786611df81214cabf588160d7af9cc80c/data/json/Arcanes.json</x:v>
      </x:c>
      <x:c r="Y167" s="31" t="str">
        <x:v>f40d0d19-c224-47f8-9ef2-c225f42e91d0</x:v>
      </x:c>
    </x:row>
    <x:row r="168">
      <x:c r="A168" s="31" t="str">
        <x:v>ARC-0161</x:v>
      </x:c>
      <x:c r="B168" s="31" t="str">
        <x:v>P2</x:v>
      </x:c>
      <x:c r="C168" s="31" t="str">
        <x:v>NO</x:v>
      </x:c>
      <x:c r="D168" s="31" t="str">
        <x:v>VALUE_MISMATCH</x:v>
      </x:c>
      <x:c r="E168" s="31" t="str">
        <x:v>EXACT_NORMALIZED_NAME</x:v>
      </x:c>
      <x:c r="F168" s="31" t="str">
        <x:v>389</x:v>
      </x:c>
      <x:c r="G168" s="31" t="str">
        <x:v>Shotgun Vendetta</x:v>
      </x:c>
      <x:c r="H168" s="31" t="str">
        <x:v>Shotgun Vendetta</x:v>
      </x:c>
      <x:c r="I168" s="31" t="str">
        <x:v>/Lotus/Upgrades/CosmeticEnhancers/Offensive/ShotgunMultishotAndReloadSpeedOnCloseKill</x:v>
      </x:c>
      <x:c r="J168" s="31" t="str">
        <x:v>VALID</x:v>
      </x:c>
      <x:c r="K168" s="31" t="str">
        <x:v>unique_name, equipment_type, introduced_update, effect_text</x:v>
      </x:c>
      <x:c r="L168" s="62" t="str">
        <x:v>unique_name: Gu=∅ | WFCD=/Lotus/Upgrades/CosmeticEnhancers/Offensive/ShotgunMultishotAndReloadSpeedOnCloseKill | reason=MISSING_OR_DIFFERENT_STABLE_ID
equipment_type: Gu=∅ | WFCD=Shotgun Arcane | legacy_subcategory=; reason=EQUIPMENT_COMPATIBILITY_IS_SEPARATE_FROM_LEGACY_SUBCATEGORY
introduced_update: Gu=∅ | WFCD=Update 33.0
effect_text: Gu=∅ | WFCD=On shotgun kill within 5m of target:\n+180% Multishot and +75% Reload Speed for 15s. | comparison=HEURISTIC_TEXT_ONLY</x:v>
      </x:c>
      <x:c r="M168" s="62" t="str">
        <x:v>Batch-review the exact-name identity and provenance fields; no game launch is expected.</x:v>
      </x:c>
      <x:c r="N168" s="62" t="str">
        <x:v>Pinned WFCD payload and current Gu row.</x:v>
      </x:c>
      <x:c r="O168" s="31" t="str">
        <x:v>NOT_STARTED</x:v>
      </x:c>
      <x:c r="P168" s="31" t="str"/>
      <x:c r="Q168" s="31" t="str">
        <x:v>Shotgun Vendetta</x:v>
      </x:c>
      <x:c r="R168" s="31" t="str">
        <x:v>/Lotus/Upgrades/CosmeticEnhancers/Offensive/ShotgunMultishotAndReloadSpeedOnCloseKill</x:v>
      </x:c>
      <x:c r="S168" s="62" t="str"/>
      <x:c r="T168" s="62" t="str"/>
      <x:c r="U168" s="31" t="str"/>
      <x:c r="V168" s="65"/>
      <x:c r="W168" s="31" t="str">
        <x:f>IF(AND(O168="COMPLETE",P168&lt;&gt;"",P168&lt;&gt;"DEFER"),"YES","NO")</x:f>
        <x:v>NO</x:v>
      </x:c>
      <x:c r="X168" s="31" t="str">
        <x:v>https://raw.githubusercontent.com/WFCD/warframe-items/f7c69c0786611df81214cabf588160d7af9cc80c/data/json/Arcanes.json</x:v>
      </x:c>
      <x:c r="Y168" s="31" t="str">
        <x:v>f40d0d19-c224-47f8-9ef2-c225f42e91d0</x:v>
      </x:c>
    </x:row>
    <x:row r="169">
      <x:c r="A169" s="31" t="str">
        <x:v>ARC-0162</x:v>
      </x:c>
      <x:c r="B169" s="31" t="str">
        <x:v>P2</x:v>
      </x:c>
      <x:c r="C169" s="31" t="str">
        <x:v>NO</x:v>
      </x:c>
      <x:c r="D169" s="31" t="str">
        <x:v>VALUE_MISMATCH</x:v>
      </x:c>
      <x:c r="E169" s="31" t="str">
        <x:v>EXACT_NORMALIZED_NAME</x:v>
      </x:c>
      <x:c r="F169" s="31" t="str">
        <x:v>166</x:v>
      </x:c>
      <x:c r="G169" s="31" t="str">
        <x:v>Theorem Contagion</x:v>
      </x:c>
      <x:c r="H169" s="31" t="str">
        <x:v>Theorem Contagion</x:v>
      </x:c>
      <x:c r="I169" s="31" t="str">
        <x:v>/Lotus/Upgrades/CosmeticEnhancers/Offensive/OrbsOnResidualContact</x:v>
      </x:c>
      <x:c r="J169" s="31" t="str">
        <x:v>VALID</x:v>
      </x:c>
      <x:c r="K169" s="31" t="str">
        <x:v>unique_name, equipment_type, introduced_update, effect_text</x:v>
      </x:c>
      <x:c r="L169" s="62" t="str">
        <x:v>unique_name: Gu=∅ | WFCD=/Lotus/Upgrades/CosmeticEnhancers/Offensive/OrbsOnResidualContact | reason=MISSING_OR_DIFFERENT_STABLE_ID
equipment_type: Gu=∅ | WFCD=Warframe Arcane | legacy_subcategory=Theorem; reason=EQUIPMENT_COMPATIBILITY_IS_SEPARATE_FROM_LEGACY_SUBCATEGORY
introduced_update: Gu=29.0 | WFCD=Update 29.5
effect_text: Gu=Creates a Toxin cloud on kill dealing 750 DPS for 15s | WFCD=Standing in a zone created by a Residual Arcane creates a globe that orbits the player every 2s. The globes will strike the nearest enemy within 15m dealing 150 damage increasing their vulnerability to the globe's damage type by 200% for 6s. Globes will persist for 30s upon leaving the zone.
+1 Arcane Revive | comparison=HEURISTIC_TEXT_ONLY</x:v>
      </x:c>
      <x:c r="M169" s="62" t="str">
        <x:v>Batch-review the exact-name identity and provenance fields; no game launch is expected.</x:v>
      </x:c>
      <x:c r="N169" s="62" t="str">
        <x:v>Pinned WFCD payload and current Gu row.</x:v>
      </x:c>
      <x:c r="O169" s="31" t="str">
        <x:v>NOT_STARTED</x:v>
      </x:c>
      <x:c r="P169" s="31" t="str"/>
      <x:c r="Q169" s="31" t="str">
        <x:v>Theorem Contagion</x:v>
      </x:c>
      <x:c r="R169" s="31" t="str">
        <x:v>/Lotus/Upgrades/CosmeticEnhancers/Offensive/OrbsOnResidualContact</x:v>
      </x:c>
      <x:c r="S169" s="62" t="str"/>
      <x:c r="T169" s="62" t="str"/>
      <x:c r="U169" s="31" t="str"/>
      <x:c r="V169" s="65"/>
      <x:c r="W169" s="31" t="str">
        <x:f>IF(AND(O169="COMPLETE",P169&lt;&gt;"",P169&lt;&gt;"DEFER"),"YES","NO")</x:f>
        <x:v>NO</x:v>
      </x:c>
      <x:c r="X169" s="31" t="str">
        <x:v>https://raw.githubusercontent.com/WFCD/warframe-items/f7c69c0786611df81214cabf588160d7af9cc80c/data/json/Arcanes.json</x:v>
      </x:c>
      <x:c r="Y169" s="31" t="str">
        <x:v>f40d0d19-c224-47f8-9ef2-c225f42e91d0</x:v>
      </x:c>
    </x:row>
    <x:row r="170">
      <x:c r="A170" s="31" t="str">
        <x:v>ARC-0163</x:v>
      </x:c>
      <x:c r="B170" s="31" t="str">
        <x:v>P2</x:v>
      </x:c>
      <x:c r="C170" s="31" t="str">
        <x:v>NO</x:v>
      </x:c>
      <x:c r="D170" s="31" t="str">
        <x:v>VALUE_MISMATCH</x:v>
      </x:c>
      <x:c r="E170" s="31" t="str">
        <x:v>EXACT_NORMALIZED_NAME</x:v>
      </x:c>
      <x:c r="F170" s="31" t="str">
        <x:v>167</x:v>
      </x:c>
      <x:c r="G170" s="31" t="str">
        <x:v>Theorem Demulcent</x:v>
      </x:c>
      <x:c r="H170" s="31" t="str">
        <x:v>Theorem Demulcent</x:v>
      </x:c>
      <x:c r="I170" s="31" t="str">
        <x:v>/Lotus/Upgrades/CosmeticEnhancers/Offensive/WeaponDamageOnResidualContact</x:v>
      </x:c>
      <x:c r="J170" s="31" t="str">
        <x:v>VALID</x:v>
      </x:c>
      <x:c r="K170" s="31" t="str">
        <x:v>unique_name, equipment_type, introduced_update, effect_text</x:v>
      </x:c>
      <x:c r="L170" s="62" t="str">
        <x:v>unique_name: Gu=∅ | WFCD=/Lotus/Upgrades/CosmeticEnhancers/Offensive/WeaponDamageOnResidualContact | reason=MISSING_OR_DIFFERENT_STABLE_ID
equipment_type: Gu=∅ | WFCD=Warframe Arcane | legacy_subcategory=Theorem; reason=EQUIPMENT_COMPATIBILITY_IS_SEPARATE_FROM_LEGACY_SUBCATEGORY
introduced_update: Gu=29.0 | WFCD=Update 29.5
effect_text: Gu=+12% Ability Damage per kill (up to 3 stacks) for 20s | WFCD=Standing in a zone created by a Residual Arcane increases weapon damage by 12%/s stacking up to 15x. Effect persists for 20s upon leaving the zone.
+1 Arcane Revive | comparison=HEURISTIC_TEXT_ONLY</x:v>
      </x:c>
      <x:c r="M170" s="62" t="str">
        <x:v>Batch-review the exact-name identity and provenance fields; no game launch is expected.</x:v>
      </x:c>
      <x:c r="N170" s="62" t="str">
        <x:v>Pinned WFCD payload and current Gu row.</x:v>
      </x:c>
      <x:c r="O170" s="31" t="str">
        <x:v>NOT_STARTED</x:v>
      </x:c>
      <x:c r="P170" s="31" t="str"/>
      <x:c r="Q170" s="31" t="str">
        <x:v>Theorem Demulcent</x:v>
      </x:c>
      <x:c r="R170" s="31" t="str">
        <x:v>/Lotus/Upgrades/CosmeticEnhancers/Offensive/WeaponDamageOnResidualContact</x:v>
      </x:c>
      <x:c r="S170" s="62" t="str"/>
      <x:c r="T170" s="62" t="str"/>
      <x:c r="U170" s="31" t="str"/>
      <x:c r="V170" s="65"/>
      <x:c r="W170" s="31" t="str">
        <x:f>IF(AND(O170="COMPLETE",P170&lt;&gt;"",P170&lt;&gt;"DEFER"),"YES","NO")</x:f>
        <x:v>NO</x:v>
      </x:c>
      <x:c r="X170" s="31" t="str">
        <x:v>https://raw.githubusercontent.com/WFCD/warframe-items/f7c69c0786611df81214cabf588160d7af9cc80c/data/json/Arcanes.json</x:v>
      </x:c>
      <x:c r="Y170" s="31" t="str">
        <x:v>f40d0d19-c224-47f8-9ef2-c225f42e91d0</x:v>
      </x:c>
    </x:row>
    <x:row r="171">
      <x:c r="A171" s="31" t="str">
        <x:v>ARC-0164</x:v>
      </x:c>
      <x:c r="B171" s="31" t="str">
        <x:v>P0</x:v>
      </x:c>
      <x:c r="C171" s="31" t="str">
        <x:v>YES</x:v>
      </x:c>
      <x:c r="D171" s="31" t="str">
        <x:v>VALUE_MISMATCH</x:v>
      </x:c>
      <x:c r="E171" s="31" t="str">
        <x:v>EXACT_NORMALIZED_NAME</x:v>
      </x:c>
      <x:c r="F171" s="31" t="str">
        <x:v>168</x:v>
      </x:c>
      <x:c r="G171" s="31" t="str">
        <x:v>Theorem Infection</x:v>
      </x:c>
      <x:c r="H171" s="31" t="str">
        <x:v>Theorem Infection</x:v>
      </x:c>
      <x:c r="I171" s="31" t="str">
        <x:v>/Lotus/Upgrades/CosmeticEnhancers/Offensive/CompanionDamageOnResidualContact</x:v>
      </x:c>
      <x:c r="J171" s="31" t="str">
        <x:v>VALID</x:v>
      </x:c>
      <x:c r="K171" s="31" t="str">
        <x:v>unique_name, equipment_type, introduced_update, effect_text</x:v>
      </x:c>
      <x:c r="L171" s="62" t="str">
        <x:v>unique_name: Gu=∅ | WFCD=/Lotus/Upgrades/CosmeticEnhancers/Offensive/CompanionDamageOnResidualContact | reason=MISSING_OR_DIFFERENT_STABLE_ID
equipment_type: Gu=∅ | WFCD=Warframe Arcane | legacy_subcategory=Theorem; reason=EQUIPMENT_COMPATIBILITY_IS_SEPARATE_FROM_LEGACY_SUBCATEGORY
introduced_update: Gu=29.0 | WFCD=Update 29.5
effect_text: Gu=Spawn an Energy Orb per kill | WFCD=Standing in a zone created by a Residual Arcane increases damage of companions and summoned allies within 90m by 24%/s stacking up to 15x. Effect persists for 20s upon leaving the zone.
+1 Arcane Revive | comparison=HEURISTIC_TEXT_ONLY</x:v>
      </x:c>
      <x:c r="M171" s="62" t="str">
        <x:v>Compare Gu and current in-game effect text; choose upstream, retain Gu, or defer.</x:v>
      </x:c>
      <x:c r="N171" s="62" t="str">
        <x:v>In-game UI screenshot plus exact displayed name/type/rank/effect where available.</x:v>
      </x:c>
      <x:c r="O171" s="31" t="str">
        <x:v>NOT_STARTED</x:v>
      </x:c>
      <x:c r="P171" s="31" t="str"/>
      <x:c r="Q171" s="31" t="str">
        <x:v>Theorem Infection</x:v>
      </x:c>
      <x:c r="R171" s="31" t="str">
        <x:v>/Lotus/Upgrades/CosmeticEnhancers/Offensive/CompanionDamageOnResidualContact</x:v>
      </x:c>
      <x:c r="S171" s="62" t="str"/>
      <x:c r="T171" s="62" t="str"/>
      <x:c r="U171" s="31" t="str"/>
      <x:c r="V171" s="65"/>
      <x:c r="W171" s="31" t="str">
        <x:f>IF(AND(O171="COMPLETE",P171&lt;&gt;"",P171&lt;&gt;"DEFER"),"YES","NO")</x:f>
        <x:v>NO</x:v>
      </x:c>
      <x:c r="X171" s="31" t="str">
        <x:v>https://raw.githubusercontent.com/WFCD/warframe-items/f7c69c0786611df81214cabf588160d7af9cc80c/data/json/Arcanes.json</x:v>
      </x:c>
      <x:c r="Y171" s="31" t="str">
        <x:v>f40d0d19-c224-47f8-9ef2-c225f42e91d0</x:v>
      </x:c>
    </x:row>
    <x:row r="172">
      <x:c r="A172" s="31" t="str">
        <x:v>ARC-0165</x:v>
      </x:c>
      <x:c r="B172" s="31" t="str">
        <x:v>P2</x:v>
      </x:c>
      <x:c r="C172" s="31" t="str">
        <x:v>NO</x:v>
      </x:c>
      <x:c r="D172" s="31" t="str">
        <x:v>VALUE_MISMATCH</x:v>
      </x:c>
      <x:c r="E172" s="31" t="str">
        <x:v>EXACT_NORMALIZED_NAME</x:v>
      </x:c>
      <x:c r="F172" s="31" t="str">
        <x:v>102</x:v>
      </x:c>
      <x:c r="G172" s="31" t="str">
        <x:v>Virtuos Forge</x:v>
      </x:c>
      <x:c r="H172" s="31" t="str">
        <x:v>Virtuos Forge</x:v>
      </x:c>
      <x:c r="I172" s="31" t="str">
        <x:v>/Lotus/Upgrades/CosmeticEnhancers/OperatorAmps/VoidToHeatDamage</x:v>
      </x:c>
      <x:c r="J172" s="31" t="str">
        <x:v>VALID</x:v>
      </x:c>
      <x:c r="K172" s="31" t="str">
        <x:v>unique_name, equipment_type, introduced_update, effect_text</x:v>
      </x:c>
      <x:c r="L172" s="62" t="str">
        <x:v>unique_name: Gu=∅ | WFCD=/Lotus/Upgrades/CosmeticEnhancers/OperatorAmps/VoidToHeatDamage | reason=MISSING_OR_DIFFERENT_STABLE_ID
equipment_type: Gu=∅ | WFCD=Amp Arcane | legacy_subcategory=Virtuos; reason=EQUIPMENT_COMPATIBILITY_IS_SEPARATE_FROM_LEGACY_SUBCATEGORY
introduced_update: Gu=22.0 | WFCD=Update 24.2
effect_text: Gu=Chance to create a Heat explosion on Void Blast | WFCD=On Hit:\nConverts 98% &lt;DT_RADIANT_COLOR&gt;Void Damage to &lt;DT_FIRE_COLOR&gt;Heat Damage. | comparison=HEURISTIC_TEXT_ONLY</x:v>
      </x:c>
      <x:c r="M172" s="62" t="str">
        <x:v>Batch-review the exact-name identity and provenance fields; no game launch is expected.</x:v>
      </x:c>
      <x:c r="N172" s="62" t="str">
        <x:v>Pinned WFCD payload and current Gu row.</x:v>
      </x:c>
      <x:c r="O172" s="31" t="str">
        <x:v>NOT_STARTED</x:v>
      </x:c>
      <x:c r="P172" s="31" t="str"/>
      <x:c r="Q172" s="31" t="str">
        <x:v>Virtuos Forge</x:v>
      </x:c>
      <x:c r="R172" s="31" t="str">
        <x:v>/Lotus/Upgrades/CosmeticEnhancers/OperatorAmps/VoidToHeatDamage</x:v>
      </x:c>
      <x:c r="S172" s="62" t="str"/>
      <x:c r="T172" s="62" t="str"/>
      <x:c r="U172" s="31" t="str"/>
      <x:c r="V172" s="65"/>
      <x:c r="W172" s="31" t="str">
        <x:f>IF(AND(O172="COMPLETE",P172&lt;&gt;"",P172&lt;&gt;"DEFER"),"YES","NO")</x:f>
        <x:v>NO</x:v>
      </x:c>
      <x:c r="X172" s="31" t="str">
        <x:v>https://raw.githubusercontent.com/WFCD/warframe-items/f7c69c0786611df81214cabf588160d7af9cc80c/data/json/Arcanes.json</x:v>
      </x:c>
      <x:c r="Y172" s="31" t="str">
        <x:v>f40d0d19-c224-47f8-9ef2-c225f42e91d0</x:v>
      </x:c>
    </x:row>
    <x:row r="173">
      <x:c r="A173" s="31" t="str">
        <x:v>ARC-0166</x:v>
      </x:c>
      <x:c r="B173" s="31" t="str">
        <x:v>P2</x:v>
      </x:c>
      <x:c r="C173" s="31" t="str">
        <x:v>NO</x:v>
      </x:c>
      <x:c r="D173" s="31" t="str">
        <x:v>VALUE_MISMATCH</x:v>
      </x:c>
      <x:c r="E173" s="31" t="str">
        <x:v>EXACT_NORMALIZED_NAME</x:v>
      </x:c>
      <x:c r="F173" s="31" t="str">
        <x:v>40</x:v>
      </x:c>
      <x:c r="G173" s="31" t="str">
        <x:v>Virtuos Fury</x:v>
      </x:c>
      <x:c r="H173" s="31" t="str">
        <x:v>Virtuos Fury</x:v>
      </x:c>
      <x:c r="I173" s="31" t="str">
        <x:v>/Lotus/Upgrades/CosmeticEnhancers/OperatorAmps/IncreasedDamageOnStatusProc</x:v>
      </x:c>
      <x:c r="J173" s="31" t="str">
        <x:v>VALID</x:v>
      </x:c>
      <x:c r="K173" s="31" t="str">
        <x:v>unique_name, equipment_type, introduced_update, tradable, effect_text</x:v>
      </x:c>
      <x:c r="L173" s="62" t="str">
        <x:v>unique_name: Gu=∅ | WFCD=/Lotus/Upgrades/CosmeticEnhancers/OperatorAmps/IncreasedDamageOnStatusProc | reason=MISSING_OR_DIFFERENT_STABLE_ID
equipment_type: Gu=∅ | WFCD=Amp Arcane | legacy_subcategory=; reason=EQUIPMENT_COMPATIBILITY_IS_SEPARATE_FROM_LEGACY_SUBCATEGORY
introduced_update: Gu=∅ | WFCD=Update 22.0
tradable: Gu=false | WFCD=true
effect_text: Gu=∅ | WFCD=On Status Effect:\n20% chance for +30% Damage for 4s | comparison=HEURISTIC_TEXT_ONLY</x:v>
      </x:c>
      <x:c r="M173" s="62" t="str">
        <x:v>Batch-review the exact-name identity and provenance fields; no game launch is expected.</x:v>
      </x:c>
      <x:c r="N173" s="62" t="str">
        <x:v>Pinned WFCD payload and current Gu row.</x:v>
      </x:c>
      <x:c r="O173" s="31" t="str">
        <x:v>NOT_STARTED</x:v>
      </x:c>
      <x:c r="P173" s="31" t="str"/>
      <x:c r="Q173" s="31" t="str">
        <x:v>Virtuos Fury</x:v>
      </x:c>
      <x:c r="R173" s="31" t="str">
        <x:v>/Lotus/Upgrades/CosmeticEnhancers/OperatorAmps/IncreasedDamageOnStatusProc</x:v>
      </x:c>
      <x:c r="S173" s="62" t="str"/>
      <x:c r="T173" s="62" t="str"/>
      <x:c r="U173" s="31" t="str"/>
      <x:c r="V173" s="65"/>
      <x:c r="W173" s="31" t="str">
        <x:f>IF(AND(O173="COMPLETE",P173&lt;&gt;"",P173&lt;&gt;"DEFER"),"YES","NO")</x:f>
        <x:v>NO</x:v>
      </x:c>
      <x:c r="X173" s="31" t="str">
        <x:v>https://raw.githubusercontent.com/WFCD/warframe-items/f7c69c0786611df81214cabf588160d7af9cc80c/data/json/Arcanes.json</x:v>
      </x:c>
      <x:c r="Y173" s="31" t="str">
        <x:v>f40d0d19-c224-47f8-9ef2-c225f42e91d0</x:v>
      </x:c>
    </x:row>
    <x:row r="174">
      <x:c r="A174" s="31" t="str">
        <x:v>ARC-0167</x:v>
      </x:c>
      <x:c r="B174" s="31" t="str">
        <x:v>P2</x:v>
      </x:c>
      <x:c r="C174" s="31" t="str">
        <x:v>NO</x:v>
      </x:c>
      <x:c r="D174" s="31" t="str">
        <x:v>VALUE_MISMATCH</x:v>
      </x:c>
      <x:c r="E174" s="31" t="str">
        <x:v>EXACT_NORMALIZED_NAME</x:v>
      </x:c>
      <x:c r="F174" s="31" t="str">
        <x:v>43</x:v>
      </x:c>
      <x:c r="G174" s="31" t="str">
        <x:v>Virtuos Ghost</x:v>
      </x:c>
      <x:c r="H174" s="31" t="str">
        <x:v>Virtuos Ghost</x:v>
      </x:c>
      <x:c r="I174" s="31" t="str">
        <x:v>/Lotus/Upgrades/CosmeticEnhancers/OperatorAmps/StatusChanceOnHeadshot</x:v>
      </x:c>
      <x:c r="J174" s="31" t="str">
        <x:v>VALID</x:v>
      </x:c>
      <x:c r="K174" s="31" t="str">
        <x:v>unique_name, equipment_type, introduced_update, effect_text</x:v>
      </x:c>
      <x:c r="L174" s="62" t="str">
        <x:v>unique_name: Gu=∅ | WFCD=/Lotus/Upgrades/CosmeticEnhancers/OperatorAmps/StatusChanceOnHeadshot | reason=MISSING_OR_DIFFERENT_STABLE_ID
equipment_type: Gu=∅ | WFCD=Amp Arcane | legacy_subcategory=Virtuos; reason=EQUIPMENT_COMPATIBILITY_IS_SEPARATE_FROM_LEGACY_SUBCATEGORY
introduced_update: Gu=22.0 | WFCD=Update 22.0
effect_text: Gu=Operator becomes invisible for 10s on Void Blast | WFCD=On Headshot:\n40% chance for +60% Status Chance for 12s | comparison=HEURISTIC_TEXT_ONLY</x:v>
      </x:c>
      <x:c r="M174" s="62" t="str">
        <x:v>Batch-review the exact-name identity and provenance fields; no game launch is expected.</x:v>
      </x:c>
      <x:c r="N174" s="62" t="str">
        <x:v>Pinned WFCD payload and current Gu row.</x:v>
      </x:c>
      <x:c r="O174" s="31" t="str">
        <x:v>NOT_STARTED</x:v>
      </x:c>
      <x:c r="P174" s="31" t="str"/>
      <x:c r="Q174" s="31" t="str">
        <x:v>Virtuos Ghost</x:v>
      </x:c>
      <x:c r="R174" s="31" t="str">
        <x:v>/Lotus/Upgrades/CosmeticEnhancers/OperatorAmps/StatusChanceOnHeadshot</x:v>
      </x:c>
      <x:c r="S174" s="62" t="str"/>
      <x:c r="T174" s="62" t="str"/>
      <x:c r="U174" s="31" t="str"/>
      <x:c r="V174" s="65"/>
      <x:c r="W174" s="31" t="str">
        <x:f>IF(AND(O174="COMPLETE",P174&lt;&gt;"",P174&lt;&gt;"DEFER"),"YES","NO")</x:f>
        <x:v>NO</x:v>
      </x:c>
      <x:c r="X174" s="31" t="str">
        <x:v>https://raw.githubusercontent.com/WFCD/warframe-items/f7c69c0786611df81214cabf588160d7af9cc80c/data/json/Arcanes.json</x:v>
      </x:c>
      <x:c r="Y174" s="31" t="str">
        <x:v>f40d0d19-c224-47f8-9ef2-c225f42e91d0</x:v>
      </x:c>
    </x:row>
    <x:row r="175">
      <x:c r="A175" s="31" t="str">
        <x:v>ARC-0168</x:v>
      </x:c>
      <x:c r="B175" s="31" t="str">
        <x:v>P2</x:v>
      </x:c>
      <x:c r="C175" s="31" t="str">
        <x:v>NO</x:v>
      </x:c>
      <x:c r="D175" s="31" t="str">
        <x:v>VALUE_MISMATCH</x:v>
      </x:c>
      <x:c r="E175" s="31" t="str">
        <x:v>EXACT_NORMALIZED_NAME</x:v>
      </x:c>
      <x:c r="F175" s="31" t="str">
        <x:v>38</x:v>
      </x:c>
      <x:c r="G175" s="31" t="str">
        <x:v>Virtuos Null</x:v>
      </x:c>
      <x:c r="H175" s="31" t="str">
        <x:v>Virtuos Null</x:v>
      </x:c>
      <x:c r="I175" s="31" t="str">
        <x:v>/Lotus/Upgrades/CosmeticEnhancers/OperatorAmps/OperatorAmmoRegenOnKill</x:v>
      </x:c>
      <x:c r="J175" s="31" t="str">
        <x:v>VALID</x:v>
      </x:c>
      <x:c r="K175" s="31" t="str">
        <x:v>unique_name, equipment_type, introduced_update, tradable, effect_text</x:v>
      </x:c>
      <x:c r="L175" s="62" t="str">
        <x:v>unique_name: Gu=∅ | WFCD=/Lotus/Upgrades/CosmeticEnhancers/OperatorAmps/OperatorAmmoRegenOnKill | reason=MISSING_OR_DIFFERENT_STABLE_ID
equipment_type: Gu=∅ | WFCD=Amp Arcane | legacy_subcategory=; reason=EQUIPMENT_COMPATIBILITY_IS_SEPARATE_FROM_LEGACY_SUBCATEGORY
introduced_update: Gu=∅ | WFCD=Update 22.0
tradable: Gu=false | WFCD=true
effect_text: Gu=∅ | WFCD=On Kill:\n+20% Amp Energy Regeneration for 4s | comparison=HEURISTIC_TEXT_ONLY</x:v>
      </x:c>
      <x:c r="M175" s="62" t="str">
        <x:v>Batch-review the exact-name identity and provenance fields; no game launch is expected.</x:v>
      </x:c>
      <x:c r="N175" s="62" t="str">
        <x:v>Pinned WFCD payload and current Gu row.</x:v>
      </x:c>
      <x:c r="O175" s="31" t="str">
        <x:v>NOT_STARTED</x:v>
      </x:c>
      <x:c r="P175" s="31" t="str"/>
      <x:c r="Q175" s="31" t="str">
        <x:v>Virtuos Null</x:v>
      </x:c>
      <x:c r="R175" s="31" t="str">
        <x:v>/Lotus/Upgrades/CosmeticEnhancers/OperatorAmps/OperatorAmmoRegenOnKill</x:v>
      </x:c>
      <x:c r="S175" s="62" t="str"/>
      <x:c r="T175" s="62" t="str"/>
      <x:c r="U175" s="31" t="str"/>
      <x:c r="V175" s="65"/>
      <x:c r="W175" s="31" t="str">
        <x:f>IF(AND(O175="COMPLETE",P175&lt;&gt;"",P175&lt;&gt;"DEFER"),"YES","NO")</x:f>
        <x:v>NO</x:v>
      </x:c>
      <x:c r="X175" s="31" t="str">
        <x:v>https://raw.githubusercontent.com/WFCD/warframe-items/f7c69c0786611df81214cabf588160d7af9cc80c/data/json/Arcanes.json</x:v>
      </x:c>
      <x:c r="Y175" s="31" t="str">
        <x:v>f40d0d19-c224-47f8-9ef2-c225f42e91d0</x:v>
      </x:c>
    </x:row>
    <x:row r="176">
      <x:c r="A176" s="31" t="str">
        <x:v>ARC-0169</x:v>
      </x:c>
      <x:c r="B176" s="31" t="str">
        <x:v>P2</x:v>
      </x:c>
      <x:c r="C176" s="31" t="str">
        <x:v>NO</x:v>
      </x:c>
      <x:c r="D176" s="31" t="str">
        <x:v>VALUE_MISMATCH</x:v>
      </x:c>
      <x:c r="E176" s="31" t="str">
        <x:v>EXACT_NORMALIZED_NAME</x:v>
      </x:c>
      <x:c r="F176" s="31" t="str">
        <x:v>42</x:v>
      </x:c>
      <x:c r="G176" s="31" t="str">
        <x:v>Virtuos Shadow</x:v>
      </x:c>
      <x:c r="H176" s="31" t="str">
        <x:v>Virtuos Shadow</x:v>
      </x:c>
      <x:c r="I176" s="31" t="str">
        <x:v>/Lotus/Upgrades/CosmeticEnhancers/OperatorAmps/CriticalChanceOnHeadshot</x:v>
      </x:c>
      <x:c r="J176" s="31" t="str">
        <x:v>VALID</x:v>
      </x:c>
      <x:c r="K176" s="31" t="str">
        <x:v>unique_name, equipment_type, introduced_update, effect_text</x:v>
      </x:c>
      <x:c r="L176" s="62" t="str">
        <x:v>unique_name: Gu=∅ | WFCD=/Lotus/Upgrades/CosmeticEnhancers/OperatorAmps/CriticalChanceOnHeadshot | reason=MISSING_OR_DIFFERENT_STABLE_ID
equipment_type: Gu=∅ | WFCD=Amp Arcane | legacy_subcategory=Virtuos; reason=EQUIPMENT_COMPATIBILITY_IS_SEPARATE_FROM_LEGACY_SUBCATEGORY
introduced_update: Gu=22.0 | WFCD=Update 22.0
effect_text: Gu=+60% Amp Crit Chance while aim-gliding for 10s | WFCD=On Headshot:\n40% chance for +60% Critical Chance for 12s | comparison=HEURISTIC_TEXT_ONLY</x:v>
      </x:c>
      <x:c r="M176" s="62" t="str">
        <x:v>Batch-review the exact-name identity and provenance fields; no game launch is expected.</x:v>
      </x:c>
      <x:c r="N176" s="62" t="str">
        <x:v>Pinned WFCD payload and current Gu row.</x:v>
      </x:c>
      <x:c r="O176" s="31" t="str">
        <x:v>NOT_STARTED</x:v>
      </x:c>
      <x:c r="P176" s="31" t="str"/>
      <x:c r="Q176" s="31" t="str">
        <x:v>Virtuos Shadow</x:v>
      </x:c>
      <x:c r="R176" s="31" t="str">
        <x:v>/Lotus/Upgrades/CosmeticEnhancers/OperatorAmps/CriticalChanceOnHeadshot</x:v>
      </x:c>
      <x:c r="S176" s="62" t="str"/>
      <x:c r="T176" s="62" t="str"/>
      <x:c r="U176" s="31" t="str"/>
      <x:c r="V176" s="65"/>
      <x:c r="W176" s="31" t="str">
        <x:f>IF(AND(O176="COMPLETE",P176&lt;&gt;"",P176&lt;&gt;"DEFER"),"YES","NO")</x:f>
        <x:v>NO</x:v>
      </x:c>
      <x:c r="X176" s="31" t="str">
        <x:v>https://raw.githubusercontent.com/WFCD/warframe-items/f7c69c0786611df81214cabf588160d7af9cc80c/data/json/Arcanes.json</x:v>
      </x:c>
      <x:c r="Y176" s="31" t="str">
        <x:v>f40d0d19-c224-47f8-9ef2-c225f42e91d0</x:v>
      </x:c>
    </x:row>
    <x:row r="177">
      <x:c r="A177" s="31" t="str">
        <x:v>ARC-0170</x:v>
      </x:c>
      <x:c r="B177" s="31" t="str">
        <x:v>P2</x:v>
      </x:c>
      <x:c r="C177" s="31" t="str">
        <x:v>NO</x:v>
      </x:c>
      <x:c r="D177" s="31" t="str">
        <x:v>VALUE_MISMATCH</x:v>
      </x:c>
      <x:c r="E177" s="31" t="str">
        <x:v>EXACT_NORMALIZED_NAME</x:v>
      </x:c>
      <x:c r="F177" s="31" t="str">
        <x:v>105</x:v>
      </x:c>
      <x:c r="G177" s="31" t="str">
        <x:v>Virtuos Spike</x:v>
      </x:c>
      <x:c r="H177" s="31" t="str">
        <x:v>Virtuos Spike</x:v>
      </x:c>
      <x:c r="I177" s="31" t="str">
        <x:v>/Lotus/Upgrades/CosmeticEnhancers/OperatorAmps/VoidToPunctureDamage</x:v>
      </x:c>
      <x:c r="J177" s="31" t="str">
        <x:v>VALID</x:v>
      </x:c>
      <x:c r="K177" s="31" t="str">
        <x:v>unique_name, equipment_type, introduced_update, effect_text</x:v>
      </x:c>
      <x:c r="L177" s="62" t="str">
        <x:v>unique_name: Gu=∅ | WFCD=/Lotus/Upgrades/CosmeticEnhancers/OperatorAmps/VoidToPunctureDamage | reason=MISSING_OR_DIFFERENT_STABLE_ID
equipment_type: Gu=∅ | WFCD=Amp Arcane | legacy_subcategory=Virtuos; reason=EQUIPMENT_COMPATIBILITY_IS_SEPARATE_FROM_LEGACY_SUBCATEGORY
introduced_update: Gu=22.0 | WFCD=Update 24.2
effect_text: Gu=Chance to proc Radiation on Void Blast | WFCD=On Hit:\nConverts 98% &lt;DT_RADIANT_COLOR&gt;Void Damage to &lt;DT_PUNCTURE_COLOR&gt;Puncture Damage. | comparison=HEURISTIC_TEXT_ONLY</x:v>
      </x:c>
      <x:c r="M177" s="62" t="str">
        <x:v>Batch-review the exact-name identity and provenance fields; no game launch is expected.</x:v>
      </x:c>
      <x:c r="N177" s="62" t="str">
        <x:v>Pinned WFCD payload and current Gu row.</x:v>
      </x:c>
      <x:c r="O177" s="31" t="str">
        <x:v>NOT_STARTED</x:v>
      </x:c>
      <x:c r="P177" s="31" t="str"/>
      <x:c r="Q177" s="31" t="str">
        <x:v>Virtuos Spike</x:v>
      </x:c>
      <x:c r="R177" s="31" t="str">
        <x:v>/Lotus/Upgrades/CosmeticEnhancers/OperatorAmps/VoidToPunctureDamage</x:v>
      </x:c>
      <x:c r="S177" s="62" t="str"/>
      <x:c r="T177" s="62" t="str"/>
      <x:c r="U177" s="31" t="str"/>
      <x:c r="V177" s="65"/>
      <x:c r="W177" s="31" t="str">
        <x:f>IF(AND(O177="COMPLETE",P177&lt;&gt;"",P177&lt;&gt;"DEFER"),"YES","NO")</x:f>
        <x:v>NO</x:v>
      </x:c>
      <x:c r="X177" s="31" t="str">
        <x:v>https://raw.githubusercontent.com/WFCD/warframe-items/f7c69c0786611df81214cabf588160d7af9cc80c/data/json/Arcanes.json</x:v>
      </x:c>
      <x:c r="Y177" s="31" t="str">
        <x:v>f40d0d19-c224-47f8-9ef2-c225f42e91d0</x:v>
      </x:c>
    </x:row>
    <x:row r="178">
      <x:c r="A178" s="31" t="str">
        <x:v>ARC-0171</x:v>
      </x:c>
      <x:c r="B178" s="31" t="str">
        <x:v>P2</x:v>
      </x:c>
      <x:c r="C178" s="31" t="str">
        <x:v>NO</x:v>
      </x:c>
      <x:c r="D178" s="31" t="str">
        <x:v>VALUE_MISMATCH</x:v>
      </x:c>
      <x:c r="E178" s="31" t="str">
        <x:v>EXACT_NORMALIZED_NAME</x:v>
      </x:c>
      <x:c r="F178" s="31" t="str">
        <x:v>41</x:v>
      </x:c>
      <x:c r="G178" s="31" t="str">
        <x:v>Virtuos Strike</x:v>
      </x:c>
      <x:c r="H178" s="31" t="str">
        <x:v>Virtuos Strike</x:v>
      </x:c>
      <x:c r="I178" s="31" t="str">
        <x:v>/Lotus/Upgrades/CosmeticEnhancers/OperatorAmps/IncreasedCriticalDamageOnCriticalStrike</x:v>
      </x:c>
      <x:c r="J178" s="31" t="str">
        <x:v>VALID</x:v>
      </x:c>
      <x:c r="K178" s="31" t="str">
        <x:v>unique_name, equipment_type, introduced_update, effect_text</x:v>
      </x:c>
      <x:c r="L178" s="62" t="str">
        <x:v>unique_name: Gu=∅ | WFCD=/Lotus/Upgrades/CosmeticEnhancers/OperatorAmps/IncreasedCriticalDamageOnCriticalStrike | reason=MISSING_OR_DIFFERENT_STABLE_ID
equipment_type: Gu=∅ | WFCD=Amp Arcane | legacy_subcategory=Virtuos; reason=EQUIPMENT_COMPATIBILITY_IS_SEPARATE_FROM_LEGACY_SUBCATEGORY
introduced_update: Gu=22.0 | WFCD=Update 22.0
effect_text: Gu=+60% Amp Crit Damage for 12s | WFCD=On Critical Hit:\n20% chance for +80% Critical Damage for 4s | comparison=HEURISTIC_TEXT_ONLY</x:v>
      </x:c>
      <x:c r="M178" s="62" t="str">
        <x:v>Batch-review the exact-name identity and provenance fields; no game launch is expected.</x:v>
      </x:c>
      <x:c r="N178" s="62" t="str">
        <x:v>Pinned WFCD payload and current Gu row.</x:v>
      </x:c>
      <x:c r="O178" s="31" t="str">
        <x:v>NOT_STARTED</x:v>
      </x:c>
      <x:c r="P178" s="31" t="str"/>
      <x:c r="Q178" s="31" t="str">
        <x:v>Virtuos Strike</x:v>
      </x:c>
      <x:c r="R178" s="31" t="str">
        <x:v>/Lotus/Upgrades/CosmeticEnhancers/OperatorAmps/IncreasedCriticalDamageOnCriticalStrike</x:v>
      </x:c>
      <x:c r="S178" s="62" t="str"/>
      <x:c r="T178" s="62" t="str"/>
      <x:c r="U178" s="31" t="str"/>
      <x:c r="V178" s="65"/>
      <x:c r="W178" s="31" t="str">
        <x:f>IF(AND(O178="COMPLETE",P178&lt;&gt;"",P178&lt;&gt;"DEFER"),"YES","NO")</x:f>
        <x:v>NO</x:v>
      </x:c>
      <x:c r="X178" s="31" t="str">
        <x:v>https://raw.githubusercontent.com/WFCD/warframe-items/f7c69c0786611df81214cabf588160d7af9cc80c/data/json/Arcanes.json</x:v>
      </x:c>
      <x:c r="Y178" s="31" t="str">
        <x:v>f40d0d19-c224-47f8-9ef2-c225f42e91d0</x:v>
      </x:c>
    </x:row>
    <x:row r="179">
      <x:c r="A179" s="31" t="str">
        <x:v>ARC-0172</x:v>
      </x:c>
      <x:c r="B179" s="31" t="str">
        <x:v>P0</x:v>
      </x:c>
      <x:c r="C179" s="31" t="str">
        <x:v>YES</x:v>
      </x:c>
      <x:c r="D179" s="31" t="str">
        <x:v>VALUE_MISMATCH</x:v>
      </x:c>
      <x:c r="E179" s="31" t="str">
        <x:v>EXACT_NORMALIZED_NAME</x:v>
      </x:c>
      <x:c r="F179" s="31" t="str">
        <x:v>401</x:v>
      </x:c>
      <x:c r="G179" s="31" t="str">
        <x:v>Virtuos Surge</x:v>
      </x:c>
      <x:c r="H179" s="31" t="str">
        <x:v>Virtuos Surge</x:v>
      </x:c>
      <x:c r="I179" s="31" t="str">
        <x:v>/Lotus/Upgrades/CosmeticEnhancers/OperatorAmps/VoidToElectricDamage</x:v>
      </x:c>
      <x:c r="J179" s="31" t="str">
        <x:v>VALID</x:v>
      </x:c>
      <x:c r="K179" s="31" t="str">
        <x:v>unique_name, equipment_type, max_rank, introduced_update, effect_text</x:v>
      </x:c>
      <x:c r="L179" s="62" t="str">
        <x:v>unique_name: Gu=∅ | WFCD=/Lotus/Upgrades/CosmeticEnhancers/OperatorAmps/VoidToElectricDamage | reason=MISSING_OR_DIFFERENT_STABLE_ID
equipment_type: Gu=∅ | WFCD=Amp Arcane | legacy_subcategory=; reason=EQUIPMENT_COMPATIBILITY_IS_SEPARATE_FROM_LEGACY_SUBCATEGORY
max_rank: Gu=5 | WFCD=3
introduced_update: Gu=∅ | WFCD=Update 24.2
effect_text: Gu=∅ | WFCD=On Hit:\nConverts 98% &lt;DT_RADIANT_COLOR&gt;Void Damage to &lt;DT_ELECTRICITY_COLOR&gt;Electricity Damage. | comparison=HEURISTIC_TEXT_ONLY</x:v>
      </x:c>
      <x:c r="M179" s="62" t="str">
        <x:v>Verify maximum rank and rank selector text in-game before approving rank rows.</x:v>
      </x:c>
      <x:c r="N179" s="62" t="str">
        <x:v>In-game UI screenshot plus exact displayed name/type/rank/effect where available.</x:v>
      </x:c>
      <x:c r="O179" s="31" t="str">
        <x:v>NOT_STARTED</x:v>
      </x:c>
      <x:c r="P179" s="31" t="str"/>
      <x:c r="Q179" s="31" t="str">
        <x:v>Virtuos Surge</x:v>
      </x:c>
      <x:c r="R179" s="31" t="str">
        <x:v>/Lotus/Upgrades/CosmeticEnhancers/OperatorAmps/VoidToElectricDamage</x:v>
      </x:c>
      <x:c r="S179" s="62" t="str"/>
      <x:c r="T179" s="62" t="str"/>
      <x:c r="U179" s="31" t="str"/>
      <x:c r="V179" s="65"/>
      <x:c r="W179" s="31" t="str">
        <x:f>IF(AND(O179="COMPLETE",P179&lt;&gt;"",P179&lt;&gt;"DEFER"),"YES","NO")</x:f>
        <x:v>NO</x:v>
      </x:c>
      <x:c r="X179" s="31" t="str">
        <x:v>https://raw.githubusercontent.com/WFCD/warframe-items/f7c69c0786611df81214cabf588160d7af9cc80c/data/json/Arcanes.json</x:v>
      </x:c>
      <x:c r="Y179" s="31" t="str">
        <x:v>f40d0d19-c224-47f8-9ef2-c225f42e91d0</x:v>
      </x:c>
    </x:row>
    <x:row r="180">
      <x:c r="A180" s="31" t="str">
        <x:v>ARC-0173</x:v>
      </x:c>
      <x:c r="B180" s="31" t="str">
        <x:v>P2</x:v>
      </x:c>
      <x:c r="C180" s="31" t="str">
        <x:v>NO</x:v>
      </x:c>
      <x:c r="D180" s="31" t="str">
        <x:v>VALUE_MISMATCH</x:v>
      </x:c>
      <x:c r="E180" s="31" t="str">
        <x:v>EXACT_NORMALIZED_NAME</x:v>
      </x:c>
      <x:c r="F180" s="31" t="str">
        <x:v>39</x:v>
      </x:c>
      <x:c r="G180" s="31" t="str">
        <x:v>Virtuos Tempo</x:v>
      </x:c>
      <x:c r="H180" s="31" t="str">
        <x:v>Virtuos Tempo</x:v>
      </x:c>
      <x:c r="I180" s="31" t="str">
        <x:v>/Lotus/Upgrades/CosmeticEnhancers/OperatorAmps/AttackSpeedOnKill</x:v>
      </x:c>
      <x:c r="J180" s="31" t="str">
        <x:v>VALID</x:v>
      </x:c>
      <x:c r="K180" s="31" t="str">
        <x:v>unique_name, equipment_type, introduced_update, effect_text</x:v>
      </x:c>
      <x:c r="L180" s="62" t="str">
        <x:v>unique_name: Gu=∅ | WFCD=/Lotus/Upgrades/CosmeticEnhancers/OperatorAmps/AttackSpeedOnKill | reason=MISSING_OR_DIFFERENT_STABLE_ID
equipment_type: Gu=∅ | WFCD=Amp Arcane | legacy_subcategory=Virtuos; reason=EQUIPMENT_COMPATIBILITY_IS_SEPARATE_FROM_LEGACY_SUBCATEGORY
introduced_update: Gu=22.0 | WFCD=Update 22.0
effect_text: Gu=+30% Amp Fire Rate for 12s | WFCD=On Kill:\n60% chance for +60% Fire Rate for 8s | comparison=HEURISTIC_TEXT_ONLY</x:v>
      </x:c>
      <x:c r="M180" s="62" t="str">
        <x:v>Batch-review the exact-name identity and provenance fields; no game launch is expected.</x:v>
      </x:c>
      <x:c r="N180" s="62" t="str">
        <x:v>Pinned WFCD payload and current Gu row.</x:v>
      </x:c>
      <x:c r="O180" s="31" t="str">
        <x:v>NOT_STARTED</x:v>
      </x:c>
      <x:c r="P180" s="31" t="str"/>
      <x:c r="Q180" s="31" t="str">
        <x:v>Virtuos Tempo</x:v>
      </x:c>
      <x:c r="R180" s="31" t="str">
        <x:v>/Lotus/Upgrades/CosmeticEnhancers/OperatorAmps/AttackSpeedOnKill</x:v>
      </x:c>
      <x:c r="S180" s="62" t="str"/>
      <x:c r="T180" s="62" t="str"/>
      <x:c r="U180" s="31" t="str"/>
      <x:c r="V180" s="65"/>
      <x:c r="W180" s="31" t="str">
        <x:f>IF(AND(O180="COMPLETE",P180&lt;&gt;"",P180&lt;&gt;"DEFER"),"YES","NO")</x:f>
        <x:v>NO</x:v>
      </x:c>
      <x:c r="X180" s="31" t="str">
        <x:v>https://raw.githubusercontent.com/WFCD/warframe-items/f7c69c0786611df81214cabf588160d7af9cc80c/data/json/Arcanes.json</x:v>
      </x:c>
      <x:c r="Y180" s="31" t="str">
        <x:v>f40d0d19-c224-47f8-9ef2-c225f42e91d0</x:v>
      </x:c>
    </x:row>
    <x:row r="181">
      <x:c r="A181" s="32" t="str">
        <x:v>ARC-0174</x:v>
      </x:c>
      <x:c r="B181" s="32" t="str">
        <x:v>P0</x:v>
      </x:c>
      <x:c r="C181" s="32" t="str">
        <x:v>YES</x:v>
      </x:c>
      <x:c r="D181" s="32" t="str">
        <x:v>VALUE_MISMATCH</x:v>
      </x:c>
      <x:c r="E181" s="32" t="str">
        <x:v>EXACT_NORMALIZED_NAME</x:v>
      </x:c>
      <x:c r="F181" s="32" t="str">
        <x:v>400</x:v>
      </x:c>
      <x:c r="G181" s="32" t="str">
        <x:v>Virtuos Trojan</x:v>
      </x:c>
      <x:c r="H181" s="32" t="str">
        <x:v>Virtuos Trojan</x:v>
      </x:c>
      <x:c r="I181" s="32" t="str">
        <x:v>/Lotus/Upgrades/CosmeticEnhancers/OperatorAmps/VoidToViralDamage</x:v>
      </x:c>
      <x:c r="J181" s="32" t="str">
        <x:v>VALID</x:v>
      </x:c>
      <x:c r="K181" s="32" t="str">
        <x:v>unique_name, equipment_type, max_rank, introduced_update, effect_text</x:v>
      </x:c>
      <x:c r="L181" s="63" t="str">
        <x:v>unique_name: Gu=∅ | WFCD=/Lotus/Upgrades/CosmeticEnhancers/OperatorAmps/VoidToViralDamage | reason=MISSING_OR_DIFFERENT_STABLE_ID
equipment_type: Gu=∅ | WFCD=Amp Arcane | legacy_subcategory=; reason=EQUIPMENT_COMPATIBILITY_IS_SEPARATE_FROM_LEGACY_SUBCATEGORY
max_rank: Gu=5 | WFCD=3
introduced_update: Gu=∅ | WFCD=Update 24.2
effect_text: Gu=∅ | WFCD=On Hit:\nConverts 98% &lt;DT_RADIANT_COLOR&gt;Void Damage to &lt;DT_VIRAL_COLOR&gt;Viral Damage. | comparison=HEURISTIC_TEXT_ONLY</x:v>
      </x:c>
      <x:c r="M181" s="63" t="str">
        <x:v>Verify maximum rank and rank selector text in-game before approving rank rows.</x:v>
      </x:c>
      <x:c r="N181" s="63" t="str">
        <x:v>In-game UI screenshot plus exact displayed name/type/rank/effect where available.</x:v>
      </x:c>
      <x:c r="O181" s="32" t="str">
        <x:v>NOT_STARTED</x:v>
      </x:c>
      <x:c r="P181" s="32" t="str"/>
      <x:c r="Q181" s="32" t="str">
        <x:v>Virtuos Trojan</x:v>
      </x:c>
      <x:c r="R181" s="32" t="str">
        <x:v>/Lotus/Upgrades/CosmeticEnhancers/OperatorAmps/VoidToViralDamage</x:v>
      </x:c>
      <x:c r="S181" s="63" t="str"/>
      <x:c r="T181" s="63" t="str"/>
      <x:c r="U181" s="32" t="str"/>
      <x:c r="V181" s="66"/>
      <x:c r="W181" s="32" t="str">
        <x:f>IF(AND(O181="COMPLETE",P181&lt;&gt;"",P181&lt;&gt;"DEFER"),"YES","NO")</x:f>
        <x:v>NO</x:v>
      </x:c>
      <x:c r="X181" s="32" t="str">
        <x:v>https://raw.githubusercontent.com/WFCD/warframe-items/f7c69c0786611df81214cabf588160d7af9cc80c/data/json/Arcanes.json</x:v>
      </x:c>
      <x:c r="Y181" s="32" t="str">
        <x:v>f40d0d19-c224-47f8-9ef2-c225f42e91d0</x:v>
      </x:c>
    </x:row>
  </x:sheetData>
  <x:mergeCells>
    <x:mergeCell ref="A1:Y2"/>
    <x:mergeCell ref="A3:Y4"/>
  </x:mergeCells>
  <x:conditionalFormatting sqref="O8:O181">
    <x:cfRule type="containsText" dxfId="0" priority="1" operator="containsText" text="COMPLETE"/>
    <x:cfRule type="containsText" dxfId="1" priority="2" operator="containsText" text="OPEN"/>
    <x:cfRule type="containsText" dxfId="2" priority="3" operator="containsText" text="PENDING"/>
    <x:cfRule type="containsText" dxfId="3" priority="4" operator="containsText" text="NOT_STARTED"/>
  </x:conditionalFormatting>
  <x:conditionalFormatting sqref="B8:B181">
    <x:cfRule type="containsText" dxfId="4" priority="5" operator="containsText" text="P0"/>
    <x:cfRule type="containsText" dxfId="5" priority="6" operator="containsText" text="P1"/>
  </x:conditionalFormatting>
  <x:conditionalFormatting sqref="C8:C181">
    <x:cfRule type="containsText" dxfId="6" priority="7" operator="containsText" text="YES"/>
  </x:conditionalFormatting>
  <x:conditionalFormatting sqref="W8:W181">
    <x:cfRule type="containsText" dxfId="7" priority="8" operator="containsText" text="YES"/>
  </x:conditionalFormatting>
  <x:dataValidations count="2">
    <x:dataValidation type="list" sqref="O8:O181">
      <x:formula1>"NOT_STARTED,IN_REVIEW,NEEDS_EVIDENCE,COMPLETE"</x:formula1>
    </x:dataValidation>
    <x:dataValidation type="list" sqref="P8:P181">
      <x:formula1>"APPROVE_UPSTREAM,RETAIN_GU,APPROVE_ALIAS,EXCLUDE_UPSTREAM,ADD_CANONICAL,MARK_INACTIVE,DEFER,NOT_APPLICABLE"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a44ee0507e49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4" hidden="0" customWidth="1"/>
    <x:col min="4" max="4" width="24" hidden="0" customWidth="1"/>
    <x:col min="5" max="5" width="22" hidden="0" customWidth="1"/>
    <x:col min="6" max="6" width="42" hidden="0" customWidth="1"/>
    <x:col min="7" max="7" width="42" hidden="0" customWidth="1"/>
    <x:col min="8" max="8" width="44" hidden="0" customWidth="1"/>
    <x:col min="9" max="9" width="18" hidden="0" customWidth="1"/>
    <x:col min="10" max="10" width="36" hidden="0" customWidth="1"/>
  </x:cols>
  <x:sheetData>
    <x:row r="1" ht="28" customHeight="1">
      <x:c r="A1" s="3" t="str">
        <x:v>FIELD-LEVEL DIFFERENCES</x:v>
      </x:c>
      <x:c r="B1" s="3" t="str">
        <x:v>FIELD-LEVEL DIFFERENCES</x:v>
      </x:c>
      <x:c r="C1" s="3" t="str">
        <x:v>FIELD-LEVEL DIFFERENCES</x:v>
      </x:c>
      <x:c r="D1" s="3" t="str">
        <x:v>FIELD-LEVEL DIFFERENCES</x:v>
      </x:c>
      <x:c r="E1" s="3" t="str">
        <x:v>FIELD-LEVEL DIFFERENCES</x:v>
      </x:c>
      <x:c r="F1" s="3" t="str">
        <x:v>FIELD-LEVEL DIFFERENCES</x:v>
      </x:c>
      <x:c r="G1" s="3" t="str">
        <x:v>FIELD-LEVEL DIFFERENCES</x:v>
      </x:c>
      <x:c r="H1" s="3" t="str">
        <x:v>FIELD-LEVEL DIFFERENCES</x:v>
      </x:c>
      <x:c r="I1" s="3" t="str">
        <x:v>FIELD-LEVEL DIFFERENCES</x:v>
      </x:c>
      <x:c r="J1" s="3" t="str">
        <x:v>FIELD-LEVEL DIFFERENCES</x:v>
      </x:c>
    </x:row>
    <x:row r="2" ht="28" customHeight="1">
      <x:c r="A2" s="3" t="str">
        <x:v>FIELD-LEVEL DIFFERENCES</x:v>
      </x:c>
      <x:c r="B2" s="3" t="str">
        <x:v>FIELD-LEVEL DIFFERENCES</x:v>
      </x:c>
      <x:c r="C2" s="3" t="str">
        <x:v>FIELD-LEVEL DIFFERENCES</x:v>
      </x:c>
      <x:c r="D2" s="3" t="str">
        <x:v>FIELD-LEVEL DIFFERENCES</x:v>
      </x:c>
      <x:c r="E2" s="3" t="str">
        <x:v>FIELD-LEVEL DIFFERENCES</x:v>
      </x:c>
      <x:c r="F2" s="3" t="str">
        <x:v>FIELD-LEVEL DIFFERENCES</x:v>
      </x:c>
      <x:c r="G2" s="3" t="str">
        <x:v>FIELD-LEVEL DIFFERENCES</x:v>
      </x:c>
      <x:c r="H2" s="3" t="str">
        <x:v>FIELD-LEVEL DIFFERENCES</x:v>
      </x:c>
      <x:c r="I2" s="3" t="str">
        <x:v>FIELD-LEVEL DIFFERENCES</x:v>
      </x:c>
      <x:c r="J2" s="3" t="str">
        <x:v>FIELD-LEVEL DIFFERENCES</x:v>
      </x:c>
    </x:row>
    <x:row r="3" ht="26" customHeight="1">
      <x:c r="A3" s="7" t="str">
        <x:v>One row per compared field. Use this sheet when a single Arcane needs mixed decisions—for example, approve stable identity but retain Gu-authored effect text.</x:v>
      </x:c>
      <x:c r="B3" s="7" t="str">
        <x:v>One row per compared field. Use this sheet when a single Arcane needs mixed decisions—for example, approve stable identity but retain Gu-authored effect text.</x:v>
      </x:c>
      <x:c r="C3" s="7" t="str">
        <x:v>One row per compared field. Use this sheet when a single Arcane needs mixed decisions—for example, approve stable identity but retain Gu-authored effect text.</x:v>
      </x:c>
      <x:c r="D3" s="7" t="str">
        <x:v>One row per compared field. Use this sheet when a single Arcane needs mixed decisions—for example, approve stable identity but retain Gu-authored effect text.</x:v>
      </x:c>
      <x:c r="E3" s="7" t="str">
        <x:v>One row per compared field. Use this sheet when a single Arcane needs mixed decisions—for example, approve stable identity but retain Gu-authored effect text.</x:v>
      </x:c>
      <x:c r="F3" s="7" t="str">
        <x:v>One row per compared field. Use this sheet when a single Arcane needs mixed decisions—for example, approve stable identity but retain Gu-authored effect text.</x:v>
      </x:c>
      <x:c r="G3" s="7" t="str">
        <x:v>One row per compared field. Use this sheet when a single Arcane needs mixed decisions—for example, approve stable identity but retain Gu-authored effect text.</x:v>
      </x:c>
      <x:c r="H3" s="7" t="str">
        <x:v>One row per compared field. Use this sheet when a single Arcane needs mixed decisions—for example, approve stable identity but retain Gu-authored effect text.</x:v>
      </x:c>
      <x:c r="I3" s="7" t="str">
        <x:v>One row per compared field. Use this sheet when a single Arcane needs mixed decisions—for example, approve stable identity but retain Gu-authored effect text.</x:v>
      </x:c>
      <x:c r="J3" s="7" t="str">
        <x:v>One row per compared field. Use this sheet when a single Arcane needs mixed decisions—for example, approve stable identity but retain Gu-authored effect text.</x:v>
      </x:c>
    </x:row>
    <x:row r="4" ht="26" customHeight="1">
      <x:c r="A4" s="7" t="str">
        <x:v>One row per compared field. Use this sheet when a single Arcane needs mixed decisions—for example, approve stable identity but retain Gu-authored effect text.</x:v>
      </x:c>
      <x:c r="B4" s="7" t="str">
        <x:v>One row per compared field. Use this sheet when a single Arcane needs mixed decisions—for example, approve stable identity but retain Gu-authored effect text.</x:v>
      </x:c>
      <x:c r="C4" s="7" t="str">
        <x:v>One row per compared field. Use this sheet when a single Arcane needs mixed decisions—for example, approve stable identity but retain Gu-authored effect text.</x:v>
      </x:c>
      <x:c r="D4" s="7" t="str">
        <x:v>One row per compared field. Use this sheet when a single Arcane needs mixed decisions—for example, approve stable identity but retain Gu-authored effect text.</x:v>
      </x:c>
      <x:c r="E4" s="7" t="str">
        <x:v>One row per compared field. Use this sheet when a single Arcane needs mixed decisions—for example, approve stable identity but retain Gu-authored effect text.</x:v>
      </x:c>
      <x:c r="F4" s="7" t="str">
        <x:v>One row per compared field. Use this sheet when a single Arcane needs mixed decisions—for example, approve stable identity but retain Gu-authored effect text.</x:v>
      </x:c>
      <x:c r="G4" s="7" t="str">
        <x:v>One row per compared field. Use this sheet when a single Arcane needs mixed decisions—for example, approve stable identity but retain Gu-authored effect text.</x:v>
      </x:c>
      <x:c r="H4" s="7" t="str">
        <x:v>One row per compared field. Use this sheet when a single Arcane needs mixed decisions—for example, approve stable identity but retain Gu-authored effect text.</x:v>
      </x:c>
      <x:c r="I4" s="7" t="str">
        <x:v>One row per compared field. Use this sheet when a single Arcane needs mixed decisions—for example, approve stable identity but retain Gu-authored effect text.</x:v>
      </x:c>
      <x:c r="J4" s="7" t="str">
        <x:v>One row per compared field. Use this sheet when a single Arcane needs mixed decisions—for example, approve stable identity but retain Gu-authored effect text.</x:v>
      </x:c>
    </x:row>
    <x:row r="7" ht="34" customHeight="1">
      <x:c r="A7" s="22" t="str">
        <x:v>Review ID</x:v>
      </x:c>
      <x:c r="B7" s="23" t="str">
        <x:v>Priority</x:v>
      </x:c>
      <x:c r="C7" s="23" t="str">
        <x:v>Gu Name</x:v>
      </x:c>
      <x:c r="D7" s="23" t="str">
        <x:v>WFCD Name</x:v>
      </x:c>
      <x:c r="E7" s="23" t="str">
        <x:v>Field</x:v>
      </x:c>
      <x:c r="F7" s="23" t="str">
        <x:v>Gu Value</x:v>
      </x:c>
      <x:c r="G7" s="23" t="str">
        <x:v>WFCD Value</x:v>
      </x:c>
      <x:c r="H7" s="23" t="str">
        <x:v>Context / Reason</x:v>
      </x:c>
      <x:c r="I7" s="23" t="str">
        <x:v>Field Decision</x:v>
      </x:c>
      <x:c r="J7" s="24" t="str">
        <x:v>Reviewer Notes</x:v>
      </x:c>
    </x:row>
    <x:row r="8">
      <x:c r="A8" s="30" t="str">
        <x:v>ARC-0001</x:v>
      </x:c>
      <x:c r="B8" s="30" t="str">
        <x:v>P0</x:v>
      </x:c>
      <x:c r="C8" s="30" t="str">
        <x:v>Arcane Steadfast</x:v>
      </x:c>
      <x:c r="D8" s="30" t="str"/>
      <x:c r="E8" s="30" t="str">
        <x:v>identity</x:v>
      </x:c>
      <x:c r="F8" s="61" t="str"/>
      <x:c r="G8" s="61" t="str"/>
      <x:c r="H8" s="61" t="str">
        <x:v>reason=DUPLICATE_NORMALIZED_UPSTREAM_NAME; candidate_unique_names=["/Lotus/Upgrades/CosmeticEnhancers/Utility/NoCostCastChanceAbility1Listener","/Lotus/Upgrades/CosmeticEnhancers/Utility/NoCostCastChanceAbility2Listener","/Lotus/Upgrades/CosmeticEnhancers/Utility/NoCostCastChanceAbility3Listener","/Lotus/Upgrades/CosmeticEnhancers/Utility/NoCostCastChanceAbility4Listener","/Lotus/Upgrades/CosmeticEnhancers/Utility/NoCostCastChanceOnCast"]</x:v>
      </x:c>
      <x:c r="I8" s="61" t="str">
        <x:v>NOT_REVIEWED</x:v>
      </x:c>
      <x:c r="J8" s="61" t="str"/>
    </x:row>
    <x:row r="9">
      <x:c r="A9" s="31" t="str">
        <x:v>ARC-0002</x:v>
      </x:c>
      <x:c r="B9" s="31" t="str">
        <x:v>P1</x:v>
      </x:c>
      <x:c r="C9" s="31" t="str"/>
      <x:c r="D9" s="31" t="str">
        <x:v>Arcane Defense</x:v>
      </x:c>
      <x:c r="E9" s="31" t="str">
        <x:v>canonical_entity</x:v>
      </x:c>
      <x:c r="F9" s="62" t="str"/>
      <x:c r="G9" s="62" t="str">
        <x:v>Arcane Defense</x:v>
      </x:c>
      <x:c r="H9" s="62" t="str">
        <x:v>reason=NO_CANONICAL_STABLE_ID_NAME_OR_APPROVED_ALIAS_MATCH</x:v>
      </x:c>
      <x:c r="I9" s="62" t="str">
        <x:v>NOT_REVIEWED</x:v>
      </x:c>
      <x:c r="J9" s="62" t="str"/>
    </x:row>
    <x:row r="10">
      <x:c r="A10" s="31" t="str">
        <x:v>ARC-0003</x:v>
      </x:c>
      <x:c r="B10" s="31" t="str">
        <x:v>P1</x:v>
      </x:c>
      <x:c r="C10" s="31" t="str"/>
      <x:c r="D10" s="31" t="str">
        <x:v>Arcane Detoxifier</x:v>
      </x:c>
      <x:c r="E10" s="31" t="str">
        <x:v>canonical_entity</x:v>
      </x:c>
      <x:c r="F10" s="62" t="str"/>
      <x:c r="G10" s="62" t="str">
        <x:v>Arcane Detoxifier</x:v>
      </x:c>
      <x:c r="H10" s="62" t="str">
        <x:v>reason=NO_CANONICAL_STABLE_ID_NAME_OR_APPROVED_ALIAS_MATCH</x:v>
      </x:c>
      <x:c r="I10" s="62" t="str">
        <x:v>NOT_REVIEWED</x:v>
      </x:c>
      <x:c r="J10" s="62" t="str"/>
    </x:row>
    <x:row r="11">
      <x:c r="A11" s="31" t="str">
        <x:v>ARC-0004</x:v>
      </x:c>
      <x:c r="B11" s="31" t="str">
        <x:v>P1</x:v>
      </x:c>
      <x:c r="C11" s="31" t="str"/>
      <x:c r="D11" s="31" t="str">
        <x:v>Arcane Ice Storm</x:v>
      </x:c>
      <x:c r="E11" s="31" t="str">
        <x:v>canonical_entity</x:v>
      </x:c>
      <x:c r="F11" s="62" t="str"/>
      <x:c r="G11" s="62" t="str">
        <x:v>Arcane Ice Storm</x:v>
      </x:c>
      <x:c r="H11" s="62" t="str">
        <x:v>reason=NO_CANONICAL_STABLE_ID_NAME_OR_APPROVED_ALIAS_MATCH</x:v>
      </x:c>
      <x:c r="I11" s="62" t="str">
        <x:v>NOT_REVIEWED</x:v>
      </x:c>
      <x:c r="J11" s="62" t="str"/>
    </x:row>
    <x:row r="12">
      <x:c r="A12" s="31" t="str">
        <x:v>ARC-0005</x:v>
      </x:c>
      <x:c r="B12" s="31" t="str">
        <x:v>P1</x:v>
      </x:c>
      <x:c r="C12" s="31" t="str"/>
      <x:c r="D12" s="31" t="str">
        <x:v>Arcane Liquid</x:v>
      </x:c>
      <x:c r="E12" s="31" t="str">
        <x:v>canonical_entity</x:v>
      </x:c>
      <x:c r="F12" s="62" t="str"/>
      <x:c r="G12" s="62" t="str">
        <x:v>Arcane Liquid</x:v>
      </x:c>
      <x:c r="H12" s="62" t="str">
        <x:v>reason=NO_CANONICAL_STABLE_ID_NAME_OR_APPROVED_ALIAS_MATCH</x:v>
      </x:c>
      <x:c r="I12" s="62" t="str">
        <x:v>NOT_REVIEWED</x:v>
      </x:c>
      <x:c r="J12" s="62" t="str"/>
    </x:row>
    <x:row r="13">
      <x:c r="A13" s="31" t="str">
        <x:v>ARC-0006</x:v>
      </x:c>
      <x:c r="B13" s="31" t="str">
        <x:v>P1</x:v>
      </x:c>
      <x:c r="C13" s="31" t="str"/>
      <x:c r="D13" s="31" t="str">
        <x:v>Arcane Protection</x:v>
      </x:c>
      <x:c r="E13" s="31" t="str">
        <x:v>canonical_entity</x:v>
      </x:c>
      <x:c r="F13" s="62" t="str"/>
      <x:c r="G13" s="62" t="str">
        <x:v>Arcane Protection</x:v>
      </x:c>
      <x:c r="H13" s="62" t="str">
        <x:v>reason=NO_CANONICAL_STABLE_ID_NAME_OR_APPROVED_ALIAS_MATCH</x:v>
      </x:c>
      <x:c r="I13" s="62" t="str">
        <x:v>NOT_REVIEWED</x:v>
      </x:c>
      <x:c r="J13" s="62" t="str"/>
    </x:row>
    <x:row r="14">
      <x:c r="A14" s="31" t="str">
        <x:v>ARC-0007</x:v>
      </x:c>
      <x:c r="B14" s="31" t="str">
        <x:v>P1</x:v>
      </x:c>
      <x:c r="C14" s="31" t="str"/>
      <x:c r="D14" s="31" t="str">
        <x:v>Arcane Sculptor</x:v>
      </x:c>
      <x:c r="E14" s="31" t="str">
        <x:v>canonical_entity</x:v>
      </x:c>
      <x:c r="F14" s="62" t="str"/>
      <x:c r="G14" s="62" t="str">
        <x:v>Arcane Sculptor</x:v>
      </x:c>
      <x:c r="H14" s="62" t="str">
        <x:v>reason=NO_CANONICAL_STABLE_ID_NAME_OR_APPROVED_ALIAS_MATCH</x:v>
      </x:c>
      <x:c r="I14" s="62" t="str">
        <x:v>NOT_REVIEWED</x:v>
      </x:c>
      <x:c r="J14" s="62" t="str"/>
    </x:row>
    <x:row r="15">
      <x:c r="A15" s="31" t="str">
        <x:v>ARC-0008</x:v>
      </x:c>
      <x:c r="B15" s="31" t="str">
        <x:v>P1</x:v>
      </x:c>
      <x:c r="C15" s="31" t="str"/>
      <x:c r="D15" s="31" t="str">
        <x:v>Arcane Shield</x:v>
      </x:c>
      <x:c r="E15" s="31" t="str">
        <x:v>canonical_entity</x:v>
      </x:c>
      <x:c r="F15" s="62" t="str"/>
      <x:c r="G15" s="62" t="str">
        <x:v>Arcane Shield</x:v>
      </x:c>
      <x:c r="H15" s="62" t="str">
        <x:v>reason=NO_CANONICAL_STABLE_ID_NAME_OR_APPROVED_ALIAS_MATCH</x:v>
      </x:c>
      <x:c r="I15" s="62" t="str">
        <x:v>NOT_REVIEWED</x:v>
      </x:c>
      <x:c r="J15" s="62" t="str"/>
    </x:row>
    <x:row r="16">
      <x:c r="A16" s="31" t="str">
        <x:v>ARC-0009</x:v>
      </x:c>
      <x:c r="B16" s="31" t="str">
        <x:v>P1</x:v>
      </x:c>
      <x:c r="C16" s="31" t="str"/>
      <x:c r="D16" s="31" t="str">
        <x:v>Arcane Survival</x:v>
      </x:c>
      <x:c r="E16" s="31" t="str">
        <x:v>canonical_entity</x:v>
      </x:c>
      <x:c r="F16" s="62" t="str"/>
      <x:c r="G16" s="62" t="str">
        <x:v>Arcane Survival</x:v>
      </x:c>
      <x:c r="H16" s="62" t="str">
        <x:v>reason=NO_CANONICAL_STABLE_ID_NAME_OR_APPROVED_ALIAS_MATCH</x:v>
      </x:c>
      <x:c r="I16" s="62" t="str">
        <x:v>NOT_REVIEWED</x:v>
      </x:c>
      <x:c r="J16" s="62" t="str"/>
    </x:row>
    <x:row r="17">
      <x:c r="A17" s="31" t="str">
        <x:v>ARC-0010</x:v>
      </x:c>
      <x:c r="B17" s="31" t="str">
        <x:v>P1</x:v>
      </x:c>
      <x:c r="C17" s="31" t="str"/>
      <x:c r="D17" s="31" t="str">
        <x:v>Arcane Temperance</x:v>
      </x:c>
      <x:c r="E17" s="31" t="str">
        <x:v>canonical_entity</x:v>
      </x:c>
      <x:c r="F17" s="62" t="str"/>
      <x:c r="G17" s="62" t="str">
        <x:v>Arcane Temperance</x:v>
      </x:c>
      <x:c r="H17" s="62" t="str">
        <x:v>reason=NO_CANONICAL_STABLE_ID_NAME_OR_APPROVED_ALIAS_MATCH</x:v>
      </x:c>
      <x:c r="I17" s="62" t="str">
        <x:v>NOT_REVIEWED</x:v>
      </x:c>
      <x:c r="J17" s="62" t="str"/>
    </x:row>
    <x:row r="18">
      <x:c r="A18" s="31" t="str">
        <x:v>ARC-0011</x:v>
      </x:c>
      <x:c r="B18" s="31" t="str">
        <x:v>P0</x:v>
      </x:c>
      <x:c r="C18" s="31" t="str"/>
      <x:c r="D18" s="31" t="str">
        <x:v>Arcane Truculence</x:v>
      </x:c>
      <x:c r="E18" s="31" t="str">
        <x:v>canonical_entity</x:v>
      </x:c>
      <x:c r="F18" s="62" t="str"/>
      <x:c r="G18" s="62" t="str">
        <x:v>Arcane Truculence</x:v>
      </x:c>
      <x:c r="H18" s="62" t="str">
        <x:v>reason=NO_CANONICAL_STABLE_ID_NAME_OR_APPROVED_ALIAS_MATCH</x:v>
      </x:c>
      <x:c r="I18" s="62" t="str">
        <x:v>NOT_REVIEWED</x:v>
      </x:c>
      <x:c r="J18" s="62" t="str"/>
    </x:row>
    <x:row r="19">
      <x:c r="A19" s="31" t="str">
        <x:v>ARC-0012</x:v>
      </x:c>
      <x:c r="B19" s="31" t="str">
        <x:v>P1</x:v>
      </x:c>
      <x:c r="C19" s="31" t="str"/>
      <x:c r="D19" s="31" t="str">
        <x:v>Melee Assimilation</x:v>
      </x:c>
      <x:c r="E19" s="31" t="str">
        <x:v>canonical_entity</x:v>
      </x:c>
      <x:c r="F19" s="62" t="str"/>
      <x:c r="G19" s="62" t="str">
        <x:v>Melee Assimilation</x:v>
      </x:c>
      <x:c r="H19" s="62" t="str">
        <x:v>reason=NO_CANONICAL_STABLE_ID_NAME_OR_APPROVED_ALIAS_MATCH</x:v>
      </x:c>
      <x:c r="I19" s="62" t="str">
        <x:v>NOT_REVIEWED</x:v>
      </x:c>
      <x:c r="J19" s="62" t="str"/>
    </x:row>
    <x:row r="20">
      <x:c r="A20" s="31" t="str">
        <x:v>ARC-0013</x:v>
      </x:c>
      <x:c r="B20" s="31" t="str">
        <x:v>P1</x:v>
      </x:c>
      <x:c r="C20" s="31" t="str"/>
      <x:c r="D20" s="31" t="str">
        <x:v>Primary Compression</x:v>
      </x:c>
      <x:c r="E20" s="31" t="str">
        <x:v>canonical_entity</x:v>
      </x:c>
      <x:c r="F20" s="62" t="str"/>
      <x:c r="G20" s="62" t="str">
        <x:v>Primary Compression</x:v>
      </x:c>
      <x:c r="H20" s="62" t="str">
        <x:v>reason=NO_CANONICAL_STABLE_ID_NAME_OR_APPROVED_ALIAS_MATCH</x:v>
      </x:c>
      <x:c r="I20" s="62" t="str">
        <x:v>NOT_REVIEWED</x:v>
      </x:c>
      <x:c r="J20" s="62" t="str"/>
    </x:row>
    <x:row r="21">
      <x:c r="A21" s="31" t="str">
        <x:v>ARC-0014</x:v>
      </x:c>
      <x:c r="B21" s="31" t="str">
        <x:v>P1</x:v>
      </x:c>
      <x:c r="C21" s="31" t="str"/>
      <x:c r="D21" s="31" t="str">
        <x:v>Secondary Cryogenic</x:v>
      </x:c>
      <x:c r="E21" s="31" t="str">
        <x:v>canonical_entity</x:v>
      </x:c>
      <x:c r="F21" s="62" t="str"/>
      <x:c r="G21" s="62" t="str">
        <x:v>Secondary Cryogenic</x:v>
      </x:c>
      <x:c r="H21" s="62" t="str">
        <x:v>reason=NO_CANONICAL_STABLE_ID_NAME_OR_APPROVED_ALIAS_MATCH</x:v>
      </x:c>
      <x:c r="I21" s="62" t="str">
        <x:v>NOT_REVIEWED</x:v>
      </x:c>
      <x:c r="J21" s="62" t="str"/>
    </x:row>
    <x:row r="22">
      <x:c r="A22" s="31" t="str">
        <x:v>ARC-0015</x:v>
      </x:c>
      <x:c r="B22" s="31" t="str">
        <x:v>P0</x:v>
      </x:c>
      <x:c r="C22" s="31" t="str">
        <x:v>Arcane Trunculence</x:v>
      </x:c>
      <x:c r="D22" s="31" t="str"/>
      <x:c r="E22" s="31" t="str">
        <x:v>upstream_entity</x:v>
      </x:c>
      <x:c r="F22" s="62" t="str">
        <x:v>Arcane Trunculence</x:v>
      </x:c>
      <x:c r="G22" s="62" t="str"/>
      <x:c r="H22" s="62" t="str">
        <x:v>reason=NO_STABLE_ID_NAME_OR_APPROVED_ALIAS_MATCH</x:v>
      </x:c>
      <x:c r="I22" s="62" t="str">
        <x:v>NOT_REVIEWED</x:v>
      </x:c>
      <x:c r="J22" s="62" t="str"/>
    </x:row>
    <x:row r="23">
      <x:c r="A23" s="31" t="str">
        <x:v>ARC-0016</x:v>
      </x:c>
      <x:c r="B23" s="31" t="str">
        <x:v>P1</x:v>
      </x:c>
      <x:c r="C23" s="31" t="str">
        <x:v>Zid-An Haras</x:v>
      </x:c>
      <x:c r="D23" s="31" t="str"/>
      <x:c r="E23" s="31" t="str">
        <x:v>upstream_entity</x:v>
      </x:c>
      <x:c r="F23" s="62" t="str">
        <x:v>Zid-An Haras</x:v>
      </x:c>
      <x:c r="G23" s="62" t="str"/>
      <x:c r="H23" s="62" t="str">
        <x:v>reason=NO_STABLE_ID_NAME_OR_APPROVED_ALIAS_MATCH</x:v>
      </x:c>
      <x:c r="I23" s="62" t="str">
        <x:v>NOT_REVIEWED</x:v>
      </x:c>
      <x:c r="J23" s="62" t="str"/>
    </x:row>
    <x:row r="24">
      <x:c r="A24" s="31" t="str">
        <x:v>ARC-0017</x:v>
      </x:c>
      <x:c r="B24" s="31" t="str">
        <x:v>P1</x:v>
      </x:c>
      <x:c r="C24" s="31" t="str">
        <x:v>Zid-An Osbok</x:v>
      </x:c>
      <x:c r="D24" s="31" t="str"/>
      <x:c r="E24" s="31" t="str">
        <x:v>upstream_entity</x:v>
      </x:c>
      <x:c r="F24" s="62" t="str">
        <x:v>Zid-An Osbok</x:v>
      </x:c>
      <x:c r="G24" s="62" t="str"/>
      <x:c r="H24" s="62" t="str">
        <x:v>reason=NO_STABLE_ID_NAME_OR_APPROVED_ALIAS_MATCH</x:v>
      </x:c>
      <x:c r="I24" s="62" t="str">
        <x:v>NOT_REVIEWED</x:v>
      </x:c>
      <x:c r="J24" s="62" t="str"/>
    </x:row>
    <x:row r="25">
      <x:c r="A25" s="31" t="str">
        <x:v>ARC-0018</x:v>
      </x:c>
      <x:c r="B25" s="31" t="str">
        <x:v>P1</x:v>
      </x:c>
      <x:c r="C25" s="31" t="str">
        <x:v>Zid-An Sek-Eel</x:v>
      </x:c>
      <x:c r="D25" s="31" t="str"/>
      <x:c r="E25" s="31" t="str">
        <x:v>upstream_entity</x:v>
      </x:c>
      <x:c r="F25" s="62" t="str">
        <x:v>Zid-An Sek-Eel</x:v>
      </x:c>
      <x:c r="G25" s="62" t="str"/>
      <x:c r="H25" s="62" t="str">
        <x:v>reason=NO_STABLE_ID_NAME_OR_APPROVED_ALIAS_MATCH</x:v>
      </x:c>
      <x:c r="I25" s="62" t="str">
        <x:v>NOT_REVIEWED</x:v>
      </x:c>
      <x:c r="J25" s="62" t="str"/>
    </x:row>
    <x:row r="26">
      <x:c r="A26" s="31" t="str">
        <x:v>ARC-0019</x:v>
      </x:c>
      <x:c r="B26" s="31" t="str">
        <x:v>P1</x:v>
      </x:c>
      <x:c r="C26" s="31" t="str">
        <x:v>Zid-An Uskos</x:v>
      </x:c>
      <x:c r="D26" s="31" t="str"/>
      <x:c r="E26" s="31" t="str">
        <x:v>upstream_entity</x:v>
      </x:c>
      <x:c r="F26" s="62" t="str">
        <x:v>Zid-An Uskos</x:v>
      </x:c>
      <x:c r="G26" s="62" t="str"/>
      <x:c r="H26" s="62" t="str">
        <x:v>reason=NO_STABLE_ID_NAME_OR_APPROVED_ALIAS_MATCH</x:v>
      </x:c>
      <x:c r="I26" s="62" t="str">
        <x:v>NOT_REVIEWED</x:v>
      </x:c>
      <x:c r="J26" s="62" t="str"/>
    </x:row>
    <x:row r="27">
      <x:c r="A27" s="31" t="str">
        <x:v>ARC-0020</x:v>
      </x:c>
      <x:c r="B27" s="31" t="str">
        <x:v>P1</x:v>
      </x:c>
      <x:c r="C27" s="31" t="str">
        <x:v>Zid-An-Asheir</x:v>
      </x:c>
      <x:c r="D27" s="31" t="str"/>
      <x:c r="E27" s="31" t="str">
        <x:v>upstream_entity</x:v>
      </x:c>
      <x:c r="F27" s="62" t="str">
        <x:v>Zid-An-Asheir</x:v>
      </x:c>
      <x:c r="G27" s="62" t="str"/>
      <x:c r="H27" s="62" t="str">
        <x:v>reason=NO_STABLE_ID_NAME_OR_APPROVED_ALIAS_MATCH</x:v>
      </x:c>
      <x:c r="I27" s="62" t="str">
        <x:v>NOT_REVIEWED</x:v>
      </x:c>
      <x:c r="J27" s="62" t="str"/>
    </x:row>
    <x:row r="28">
      <x:c r="A28" s="31" t="str">
        <x:v>ARC-0021</x:v>
      </x:c>
      <x:c r="B28" s="31" t="str">
        <x:v>P2</x:v>
      </x:c>
      <x:c r="C28" s="31" t="str">
        <x:v>Akimbo Slip Shot</x:v>
      </x:c>
      <x:c r="D28" s="31" t="str">
        <x:v>Akimbo Slip Shot</x:v>
      </x:c>
      <x:c r="E28" s="31" t="str">
        <x:v>unique_name</x:v>
      </x:c>
      <x:c r="F28" s="62" t="str"/>
      <x:c r="G28" s="62" t="str">
        <x:v>/Lotus/Upgrades/CosmeticEnhancers/Offensive/AmmoEfficiencyOnSliding</x:v>
      </x:c>
      <x:c r="H28" s="62" t="str">
        <x:v>reason=MISSING_OR_DIFFERENT_STABLE_ID</x:v>
      </x:c>
      <x:c r="I28" s="62" t="str">
        <x:v>NOT_REVIEWED</x:v>
      </x:c>
      <x:c r="J28" s="62" t="str"/>
    </x:row>
    <x:row r="29">
      <x:c r="A29" s="31" t="str">
        <x:v>ARC-0021</x:v>
      </x:c>
      <x:c r="B29" s="31" t="str">
        <x:v>P2</x:v>
      </x:c>
      <x:c r="C29" s="31" t="str">
        <x:v>Akimbo Slip Shot</x:v>
      </x:c>
      <x:c r="D29" s="31" t="str">
        <x:v>Akimbo Slip Shot</x:v>
      </x:c>
      <x:c r="E29" s="31" t="str">
        <x:v>equipment_type</x:v>
      </x:c>
      <x:c r="F29" s="62" t="str"/>
      <x:c r="G29" s="62" t="str">
        <x:v>Secondary Arcane</x:v>
      </x:c>
      <x:c r="H29" s="62" t="str">
        <x:v>legacy_subcategory=Akimbo; reason=EQUIPMENT_COMPATIBILITY_IS_SEPARATE_FROM_LEGACY_SUBCATEGORY</x:v>
      </x:c>
      <x:c r="I29" s="62" t="str">
        <x:v>NOT_REVIEWED</x:v>
      </x:c>
      <x:c r="J29" s="62" t="str"/>
    </x:row>
    <x:row r="30">
      <x:c r="A30" s="31" t="str">
        <x:v>ARC-0021</x:v>
      </x:c>
      <x:c r="B30" s="31" t="str">
        <x:v>P2</x:v>
      </x:c>
      <x:c r="C30" s="31" t="str">
        <x:v>Akimbo Slip Shot</x:v>
      </x:c>
      <x:c r="D30" s="31" t="str">
        <x:v>Akimbo Slip Shot</x:v>
      </x:c>
      <x:c r="E30" s="31" t="str">
        <x:v>introduced_update</x:v>
      </x:c>
      <x:c r="F30" s="62" t="str">
        <x:v>33.5</x:v>
      </x:c>
      <x:c r="G30" s="62" t="str">
        <x:v>Update 33.5</x:v>
      </x:c>
      <x:c r="H30" s="62" t="str"/>
      <x:c r="I30" s="62" t="str">
        <x:v>NOT_REVIEWED</x:v>
      </x:c>
      <x:c r="J30" s="62" t="str"/>
    </x:row>
    <x:row r="31">
      <x:c r="A31" s="31" t="str">
        <x:v>ARC-0021</x:v>
      </x:c>
      <x:c r="B31" s="31" t="str">
        <x:v>P2</x:v>
      </x:c>
      <x:c r="C31" s="31" t="str">
        <x:v>Akimbo Slip Shot</x:v>
      </x:c>
      <x:c r="D31" s="31" t="str">
        <x:v>Akimbo Slip Shot</x:v>
      </x:c>
      <x:c r="E31" s="31" t="str">
        <x:v>effect_text</x:v>
      </x:c>
      <x:c r="F31" s="62" t="str">
        <x:v>Bonus accuracy &amp; damage on slide-fire</x:v>
      </x:c>
      <x:c r="G31" s="62" t="str">
        <x:v>While sliding or aim gliding: Gain 65% ammo efficiency with Dual Pistols.</x:v>
      </x:c>
      <x:c r="H31" s="62" t="str">
        <x:v>comparison=HEURISTIC_TEXT_ONLY</x:v>
      </x:c>
      <x:c r="I31" s="62" t="str">
        <x:v>NOT_REVIEWED</x:v>
      </x:c>
      <x:c r="J31" s="62" t="str"/>
    </x:row>
    <x:row r="32">
      <x:c r="A32" s="31" t="str">
        <x:v>ARC-0022</x:v>
      </x:c>
      <x:c r="B32" s="31" t="str">
        <x:v>P2</x:v>
      </x:c>
      <x:c r="C32" s="31" t="str">
        <x:v>Arcane Acceleration</x:v>
      </x:c>
      <x:c r="D32" s="31" t="str">
        <x:v>Arcane Acceleration</x:v>
      </x:c>
      <x:c r="E32" s="31" t="str">
        <x:v>unique_name</x:v>
      </x:c>
      <x:c r="F32" s="62" t="str"/>
      <x:c r="G32" s="62" t="str">
        <x:v>/Lotus/Upgrades/CosmeticEnhancers/Offensive/LongGunSpeedOnCrit</x:v>
      </x:c>
      <x:c r="H32" s="62" t="str">
        <x:v>reason=MISSING_OR_DIFFERENT_STABLE_ID</x:v>
      </x:c>
      <x:c r="I32" s="62" t="str">
        <x:v>NOT_REVIEWED</x:v>
      </x:c>
      <x:c r="J32" s="62" t="str"/>
    </x:row>
    <x:row r="33">
      <x:c r="A33" s="31" t="str">
        <x:v>ARC-0022</x:v>
      </x:c>
      <x:c r="B33" s="31" t="str">
        <x:v>P2</x:v>
      </x:c>
      <x:c r="C33" s="31" t="str">
        <x:v>Arcane Acceleration</x:v>
      </x:c>
      <x:c r="D33" s="31" t="str">
        <x:v>Arcane Acceleration</x:v>
      </x:c>
      <x:c r="E33" s="31" t="str">
        <x:v>equipment_type</x:v>
      </x:c>
      <x:c r="F33" s="62" t="str"/>
      <x:c r="G33" s="62" t="str">
        <x:v>Warframe Arcane</x:v>
      </x:c>
      <x:c r="H33" s="62" t="str">
        <x:v>legacy_subcategory=Eidolon; reason=EQUIPMENT_COMPATIBILITY_IS_SEPARATE_FROM_LEGACY_SUBCATEGORY</x:v>
      </x:c>
      <x:c r="I33" s="62" t="str">
        <x:v>NOT_REVIEWED</x:v>
      </x:c>
      <x:c r="J33" s="62" t="str"/>
    </x:row>
    <x:row r="34">
      <x:c r="A34" s="31" t="str">
        <x:v>ARC-0022</x:v>
      </x:c>
      <x:c r="B34" s="31" t="str">
        <x:v>P2</x:v>
      </x:c>
      <x:c r="C34" s="31" t="str">
        <x:v>Arcane Acceleration</x:v>
      </x:c>
      <x:c r="D34" s="31" t="str">
        <x:v>Arcane Acceleration</x:v>
      </x:c>
      <x:c r="E34" s="31" t="str">
        <x:v>introduced_update</x:v>
      </x:c>
      <x:c r="F34" s="62" t="str">
        <x:v>22.14</x:v>
      </x:c>
      <x:c r="G34" s="62" t="str">
        <x:v>Update 16.0</x:v>
      </x:c>
      <x:c r="H34" s="62" t="str"/>
      <x:c r="I34" s="62" t="str">
        <x:v>NOT_REVIEWED</x:v>
      </x:c>
      <x:c r="J34" s="62" t="str"/>
    </x:row>
    <x:row r="35">
      <x:c r="A35" s="31" t="str">
        <x:v>ARC-0022</x:v>
      </x:c>
      <x:c r="B35" s="31" t="str">
        <x:v>P2</x:v>
      </x:c>
      <x:c r="C35" s="31" t="str">
        <x:v>Arcane Acceleration</x:v>
      </x:c>
      <x:c r="D35" s="31" t="str">
        <x:v>Arcane Acceleration</x:v>
      </x:c>
      <x:c r="E35" s="31" t="str">
        <x:v>effect_text</x:v>
      </x:c>
      <x:c r="F35" s="62" t="str">
        <x:v>+60% Fire Rate for Primary Rifles for 9s</x:v>
      </x:c>
      <x:c r="G35" s="62" t="str">
        <x:v>On Critical Hit:\n30% chance for +90% Fire Rate to Primary Weapons (Excludes Shotguns) for 9s\n+1 Arcane Revive
+1 Arcane Revive</x:v>
      </x:c>
      <x:c r="H35" s="62" t="str">
        <x:v>comparison=HEURISTIC_TEXT_ONLY</x:v>
      </x:c>
      <x:c r="I35" s="62" t="str">
        <x:v>NOT_REVIEWED</x:v>
      </x:c>
      <x:c r="J35" s="62" t="str"/>
    </x:row>
    <x:row r="36">
      <x:c r="A36" s="31" t="str">
        <x:v>ARC-0023</x:v>
      </x:c>
      <x:c r="B36" s="31" t="str">
        <x:v>P0</x:v>
      </x:c>
      <x:c r="C36" s="31" t="str">
        <x:v>Arcane Aegis</x:v>
      </x:c>
      <x:c r="D36" s="31" t="str">
        <x:v>Arcane Aegis</x:v>
      </x:c>
      <x:c r="E36" s="31" t="str">
        <x:v>unique_name</x:v>
      </x:c>
      <x:c r="F36" s="62" t="str"/>
      <x:c r="G36" s="62" t="str">
        <x:v>/Lotus/Upgrades/CosmeticEnhancers/Defensive/GolemArcaneShieldRegenOnDamage</x:v>
      </x:c>
      <x:c r="H36" s="62" t="str">
        <x:v>reason=MISSING_OR_DIFFERENT_STABLE_ID</x:v>
      </x:c>
      <x:c r="I36" s="62" t="str">
        <x:v>NOT_REVIEWED</x:v>
      </x:c>
      <x:c r="J36" s="62" t="str"/>
    </x:row>
    <x:row r="37">
      <x:c r="A37" s="31" t="str">
        <x:v>ARC-0023</x:v>
      </x:c>
      <x:c r="B37" s="31" t="str">
        <x:v>P0</x:v>
      </x:c>
      <x:c r="C37" s="31" t="str">
        <x:v>Arcane Aegis</x:v>
      </x:c>
      <x:c r="D37" s="31" t="str">
        <x:v>Arcane Aegis</x:v>
      </x:c>
      <x:c r="E37" s="31" t="str">
        <x:v>equipment_type</x:v>
      </x:c>
      <x:c r="F37" s="62" t="str"/>
      <x:c r="G37" s="62" t="str">
        <x:v>Warframe Arcane</x:v>
      </x:c>
      <x:c r="H37" s="62" t="str">
        <x:v>legacy_subcategory=Eidolon; reason=EQUIPMENT_COMPATIBILITY_IS_SEPARATE_FROM_LEGACY_SUBCATEGORY</x:v>
      </x:c>
      <x:c r="I37" s="62" t="str">
        <x:v>NOT_REVIEWED</x:v>
      </x:c>
      <x:c r="J37" s="62" t="str"/>
    </x:row>
    <x:row r="38">
      <x:c r="A38" s="31" t="str">
        <x:v>ARC-0023</x:v>
      </x:c>
      <x:c r="B38" s="31" t="str">
        <x:v>P0</x:v>
      </x:c>
      <x:c r="C38" s="31" t="str">
        <x:v>Arcane Aegis</x:v>
      </x:c>
      <x:c r="D38" s="31" t="str">
        <x:v>Arcane Aegis</x:v>
      </x:c>
      <x:c r="E38" s="31" t="str">
        <x:v>introduced_update</x:v>
      </x:c>
      <x:c r="F38" s="62" t="str">
        <x:v>22.14</x:v>
      </x:c>
      <x:c r="G38" s="62" t="str">
        <x:v>Update 17.9.1</x:v>
      </x:c>
      <x:c r="H38" s="62" t="str"/>
      <x:c r="I38" s="62" t="str">
        <x:v>NOT_REVIEWED</x:v>
      </x:c>
      <x:c r="J38" s="62" t="str"/>
    </x:row>
    <x:row r="39">
      <x:c r="A39" s="31" t="str">
        <x:v>ARC-0023</x:v>
      </x:c>
      <x:c r="B39" s="31" t="str">
        <x:v>P0</x:v>
      </x:c>
      <x:c r="C39" s="31" t="str">
        <x:v>Arcane Aegis</x:v>
      </x:c>
      <x:c r="D39" s="31" t="str">
        <x:v>Arcane Aegis</x:v>
      </x:c>
      <x:c r="E39" s="31" t="str">
        <x:v>effect_text</x:v>
      </x:c>
      <x:c r="F39" s="62" t="str">
        <x:v>90% chance on Shield damage: Restore all Shields, then regen at 20/s for 4s</x:v>
      </x:c>
      <x:c r="G39" s="62" t="str">
        <x:v>On Shield Damaged:\n3% chance for +30% Shield Recharge for 12s\n+1 Arcane Revive
+1 Arcane Revive</x:v>
      </x:c>
      <x:c r="H39" s="62" t="str">
        <x:v>comparison=HEURISTIC_TEXT_ONLY</x:v>
      </x:c>
      <x:c r="I39" s="62" t="str">
        <x:v>NOT_REVIEWED</x:v>
      </x:c>
      <x:c r="J39" s="62" t="str"/>
    </x:row>
    <x:row r="40">
      <x:c r="A40" s="31" t="str">
        <x:v>ARC-0024</x:v>
      </x:c>
      <x:c r="B40" s="31" t="str">
        <x:v>P2</x:v>
      </x:c>
      <x:c r="C40" s="31" t="str">
        <x:v>Arcane Agility</x:v>
      </x:c>
      <x:c r="D40" s="31" t="str">
        <x:v>Arcane Agility</x:v>
      </x:c>
      <x:c r="E40" s="31" t="str">
        <x:v>unique_name</x:v>
      </x:c>
      <x:c r="F40" s="62" t="str"/>
      <x:c r="G40" s="62" t="str">
        <x:v>/Lotus/Upgrades/CosmeticEnhancers/Defensive/SpeedOnDamage</x:v>
      </x:c>
      <x:c r="H40" s="62" t="str">
        <x:v>reason=MISSING_OR_DIFFERENT_STABLE_ID</x:v>
      </x:c>
      <x:c r="I40" s="62" t="str">
        <x:v>NOT_REVIEWED</x:v>
      </x:c>
      <x:c r="J40" s="62" t="str"/>
    </x:row>
    <x:row r="41">
      <x:c r="A41" s="31" t="str">
        <x:v>ARC-0024</x:v>
      </x:c>
      <x:c r="B41" s="31" t="str">
        <x:v>P2</x:v>
      </x:c>
      <x:c r="C41" s="31" t="str">
        <x:v>Arcane Agility</x:v>
      </x:c>
      <x:c r="D41" s="31" t="str">
        <x:v>Arcane Agility</x:v>
      </x:c>
      <x:c r="E41" s="31" t="str">
        <x:v>equipment_type</x:v>
      </x:c>
      <x:c r="F41" s="62" t="str"/>
      <x:c r="G41" s="62" t="str">
        <x:v>Warframe Arcane</x:v>
      </x:c>
      <x:c r="H41" s="62" t="str">
        <x:v>legacy_subcategory=Eidolon; reason=EQUIPMENT_COMPATIBILITY_IS_SEPARATE_FROM_LEGACY_SUBCATEGORY</x:v>
      </x:c>
      <x:c r="I41" s="62" t="str">
        <x:v>NOT_REVIEWED</x:v>
      </x:c>
      <x:c r="J41" s="62" t="str"/>
    </x:row>
    <x:row r="42">
      <x:c r="A42" s="31" t="str">
        <x:v>ARC-0024</x:v>
      </x:c>
      <x:c r="B42" s="31" t="str">
        <x:v>P2</x:v>
      </x:c>
      <x:c r="C42" s="31" t="str">
        <x:v>Arcane Agility</x:v>
      </x:c>
      <x:c r="D42" s="31" t="str">
        <x:v>Arcane Agility</x:v>
      </x:c>
      <x:c r="E42" s="31" t="str">
        <x:v>introduced_update</x:v>
      </x:c>
      <x:c r="F42" s="62" t="str">
        <x:v>22.14</x:v>
      </x:c>
      <x:c r="G42" s="62" t="str">
        <x:v>Update 16.0</x:v>
      </x:c>
      <x:c r="H42" s="62" t="str"/>
      <x:c r="I42" s="62" t="str">
        <x:v>NOT_REVIEWED</x:v>
      </x:c>
      <x:c r="J42" s="62" t="str"/>
    </x:row>
    <x:row r="43">
      <x:c r="A43" s="31" t="str">
        <x:v>ARC-0024</x:v>
      </x:c>
      <x:c r="B43" s="31" t="str">
        <x:v>P2</x:v>
      </x:c>
      <x:c r="C43" s="31" t="str">
        <x:v>Arcane Agility</x:v>
      </x:c>
      <x:c r="D43" s="31" t="str">
        <x:v>Arcane Agility</x:v>
      </x:c>
      <x:c r="E43" s="31" t="str">
        <x:v>effect_text</x:v>
      </x:c>
      <x:c r="F43" s="62" t="str">
        <x:v>+30% Parkour Velocity for 12s</x:v>
      </x:c>
      <x:c r="G43" s="62" t="str">
        <x:v>On Damaged:\n60% chance for +60% Parkour Velocity for 18s\n+1 Arcane Revive
+1 Arcane Revive</x:v>
      </x:c>
      <x:c r="H43" s="62" t="str">
        <x:v>comparison=HEURISTIC_TEXT_ONLY</x:v>
      </x:c>
      <x:c r="I43" s="62" t="str">
        <x:v>NOT_REVIEWED</x:v>
      </x:c>
      <x:c r="J43" s="62" t="str"/>
    </x:row>
    <x:row r="44">
      <x:c r="A44" s="31" t="str">
        <x:v>ARC-0025</x:v>
      </x:c>
      <x:c r="B44" s="31" t="str">
        <x:v>P2</x:v>
      </x:c>
      <x:c r="C44" s="31" t="str">
        <x:v>Arcane Arachne</x:v>
      </x:c>
      <x:c r="D44" s="31" t="str">
        <x:v>Arcane Arachne</x:v>
      </x:c>
      <x:c r="E44" s="31" t="str">
        <x:v>unique_name</x:v>
      </x:c>
      <x:c r="F44" s="62" t="str"/>
      <x:c r="G44" s="62" t="str">
        <x:v>/Lotus/Upgrades/CosmeticEnhancers/Utility/GolemArcaneBonusDamageOnWallLatch</x:v>
      </x:c>
      <x:c r="H44" s="62" t="str">
        <x:v>reason=MISSING_OR_DIFFERENT_STABLE_ID</x:v>
      </x:c>
      <x:c r="I44" s="62" t="str">
        <x:v>NOT_REVIEWED</x:v>
      </x:c>
      <x:c r="J44" s="62" t="str"/>
    </x:row>
    <x:row r="45">
      <x:c r="A45" s="31" t="str">
        <x:v>ARC-0025</x:v>
      </x:c>
      <x:c r="B45" s="31" t="str">
        <x:v>P2</x:v>
      </x:c>
      <x:c r="C45" s="31" t="str">
        <x:v>Arcane Arachne</x:v>
      </x:c>
      <x:c r="D45" s="31" t="str">
        <x:v>Arcane Arachne</x:v>
      </x:c>
      <x:c r="E45" s="31" t="str">
        <x:v>equipment_type</x:v>
      </x:c>
      <x:c r="F45" s="62" t="str"/>
      <x:c r="G45" s="62" t="str">
        <x:v>Warframe Arcane</x:v>
      </x:c>
      <x:c r="H45" s="62" t="str">
        <x:v>legacy_subcategory=Netracell; reason=EQUIPMENT_COMPATIBILITY_IS_SEPARATE_FROM_LEGACY_SUBCATEGORY</x:v>
      </x:c>
      <x:c r="I45" s="62" t="str">
        <x:v>NOT_REVIEWED</x:v>
      </x:c>
      <x:c r="J45" s="62" t="str"/>
    </x:row>
    <x:row r="46">
      <x:c r="A46" s="31" t="str">
        <x:v>ARC-0025</x:v>
      </x:c>
      <x:c r="B46" s="31" t="str">
        <x:v>P2</x:v>
      </x:c>
      <x:c r="C46" s="31" t="str">
        <x:v>Arcane Arachne</x:v>
      </x:c>
      <x:c r="D46" s="31" t="str">
        <x:v>Arcane Arachne</x:v>
      </x:c>
      <x:c r="E46" s="31" t="str">
        <x:v>introduced_update</x:v>
      </x:c>
      <x:c r="F46" s="62" t="str">
        <x:v>35.0</x:v>
      </x:c>
      <x:c r="G46" s="62" t="str">
        <x:v>Update 17.9.1</x:v>
      </x:c>
      <x:c r="H46" s="62" t="str"/>
      <x:c r="I46" s="62" t="str">
        <x:v>NOT_REVIEWED</x:v>
      </x:c>
      <x:c r="J46" s="62" t="str"/>
    </x:row>
    <x:row r="47">
      <x:c r="A47" s="31" t="str">
        <x:v>ARC-0025</x:v>
      </x:c>
      <x:c r="B47" s="31" t="str">
        <x:v>P2</x:v>
      </x:c>
      <x:c r="C47" s="31" t="str">
        <x:v>Arcane Arachne</x:v>
      </x:c>
      <x:c r="D47" s="31" t="str">
        <x:v>Arcane Arachne</x:v>
      </x:c>
      <x:c r="E47" s="31" t="str">
        <x:v>effect_text</x:v>
      </x:c>
      <x:c r="F47" s="62" t="str">
        <x:v>+150% Weapon Damage while wall-latched; lingers 6s</x:v>
      </x:c>
      <x:c r="G47" s="62" t="str">
        <x:v>On Wall Latch:\n+150% Damage to Primary and Secondary weapons for 30s\n+1 Arcane Revive
+1 Arcane Revive</x:v>
      </x:c>
      <x:c r="H47" s="62" t="str">
        <x:v>comparison=HEURISTIC_TEXT_ONLY</x:v>
      </x:c>
      <x:c r="I47" s="62" t="str">
        <x:v>NOT_REVIEWED</x:v>
      </x:c>
      <x:c r="J47" s="62" t="str"/>
    </x:row>
    <x:row r="48">
      <x:c r="A48" s="31" t="str">
        <x:v>ARC-0026</x:v>
      </x:c>
      <x:c r="B48" s="31" t="str">
        <x:v>P2</x:v>
      </x:c>
      <x:c r="C48" s="31" t="str">
        <x:v>Arcane Avenger</x:v>
      </x:c>
      <x:c r="D48" s="31" t="str">
        <x:v>Arcane Avenger</x:v>
      </x:c>
      <x:c r="E48" s="31" t="str">
        <x:v>unique_name</x:v>
      </x:c>
      <x:c r="F48" s="62" t="str"/>
      <x:c r="G48" s="62" t="str">
        <x:v>/Lotus/Upgrades/CosmeticEnhancers/Defensive/CritChanceOnDamage</x:v>
      </x:c>
      <x:c r="H48" s="62" t="str">
        <x:v>reason=MISSING_OR_DIFFERENT_STABLE_ID</x:v>
      </x:c>
      <x:c r="I48" s="62" t="str">
        <x:v>NOT_REVIEWED</x:v>
      </x:c>
      <x:c r="J48" s="62" t="str"/>
    </x:row>
    <x:row r="49">
      <x:c r="A49" s="31" t="str">
        <x:v>ARC-0026</x:v>
      </x:c>
      <x:c r="B49" s="31" t="str">
        <x:v>P2</x:v>
      </x:c>
      <x:c r="C49" s="31" t="str">
        <x:v>Arcane Avenger</x:v>
      </x:c>
      <x:c r="D49" s="31" t="str">
        <x:v>Arcane Avenger</x:v>
      </x:c>
      <x:c r="E49" s="31" t="str">
        <x:v>equipment_type</x:v>
      </x:c>
      <x:c r="F49" s="62" t="str"/>
      <x:c r="G49" s="62" t="str">
        <x:v>Warframe Arcane</x:v>
      </x:c>
      <x:c r="H49" s="62" t="str">
        <x:v>legacy_subcategory=Eidolon; reason=EQUIPMENT_COMPATIBILITY_IS_SEPARATE_FROM_LEGACY_SUBCATEGORY</x:v>
      </x:c>
      <x:c r="I49" s="62" t="str">
        <x:v>NOT_REVIEWED</x:v>
      </x:c>
      <x:c r="J49" s="62" t="str"/>
    </x:row>
    <x:row r="50">
      <x:c r="A50" s="31" t="str">
        <x:v>ARC-0026</x:v>
      </x:c>
      <x:c r="B50" s="31" t="str">
        <x:v>P2</x:v>
      </x:c>
      <x:c r="C50" s="31" t="str">
        <x:v>Arcane Avenger</x:v>
      </x:c>
      <x:c r="D50" s="31" t="str">
        <x:v>Arcane Avenger</x:v>
      </x:c>
      <x:c r="E50" s="31" t="str">
        <x:v>introduced_update</x:v>
      </x:c>
      <x:c r="F50" s="62" t="str">
        <x:v>22.14</x:v>
      </x:c>
      <x:c r="G50" s="62" t="str">
        <x:v>Update 16.0</x:v>
      </x:c>
      <x:c r="H50" s="62" t="str"/>
      <x:c r="I50" s="62" t="str">
        <x:v>NOT_REVIEWED</x:v>
      </x:c>
      <x:c r="J50" s="62" t="str"/>
    </x:row>
    <x:row r="51">
      <x:c r="A51" s="31" t="str">
        <x:v>ARC-0026</x:v>
      </x:c>
      <x:c r="B51" s="31" t="str">
        <x:v>P2</x:v>
      </x:c>
      <x:c r="C51" s="31" t="str">
        <x:v>Arcane Avenger</x:v>
      </x:c>
      <x:c r="D51" s="31" t="str">
        <x:v>Arcane Avenger</x:v>
      </x:c>
      <x:c r="E51" s="31" t="str">
        <x:v>effect_text</x:v>
      </x:c>
      <x:c r="F51" s="62" t="str">
        <x:v>+45% Critical Chance (additive) for 12s</x:v>
      </x:c>
      <x:c r="G51" s="62" t="str">
        <x:v>On Damaged:\n21% chance for +45% Critical Chance for 12s\n+1 Arcane Revive
+1 Arcane Revive</x:v>
      </x:c>
      <x:c r="H51" s="62" t="str">
        <x:v>comparison=HEURISTIC_TEXT_ONLY</x:v>
      </x:c>
      <x:c r="I51" s="62" t="str">
        <x:v>NOT_REVIEWED</x:v>
      </x:c>
      <x:c r="J51" s="62" t="str"/>
    </x:row>
    <x:row r="52">
      <x:c r="A52" s="31" t="str">
        <x:v>ARC-0027</x:v>
      </x:c>
      <x:c r="B52" s="31" t="str">
        <x:v>P2</x:v>
      </x:c>
      <x:c r="C52" s="31" t="str">
        <x:v>Arcane Awakening</x:v>
      </x:c>
      <x:c r="D52" s="31" t="str">
        <x:v>Arcane Awakening</x:v>
      </x:c>
      <x:c r="E52" s="31" t="str">
        <x:v>unique_name</x:v>
      </x:c>
      <x:c r="F52" s="62" t="str"/>
      <x:c r="G52" s="62" t="str">
        <x:v>/Lotus/Upgrades/CosmeticEnhancers/Utility/PistolDamageOnReload</x:v>
      </x:c>
      <x:c r="H52" s="62" t="str">
        <x:v>reason=MISSING_OR_DIFFERENT_STABLE_ID</x:v>
      </x:c>
      <x:c r="I52" s="62" t="str">
        <x:v>NOT_REVIEWED</x:v>
      </x:c>
      <x:c r="J52" s="62" t="str"/>
    </x:row>
    <x:row r="53">
      <x:c r="A53" s="31" t="str">
        <x:v>ARC-0027</x:v>
      </x:c>
      <x:c r="B53" s="31" t="str">
        <x:v>P2</x:v>
      </x:c>
      <x:c r="C53" s="31" t="str">
        <x:v>Arcane Awakening</x:v>
      </x:c>
      <x:c r="D53" s="31" t="str">
        <x:v>Arcane Awakening</x:v>
      </x:c>
      <x:c r="E53" s="31" t="str">
        <x:v>equipment_type</x:v>
      </x:c>
      <x:c r="F53" s="62" t="str"/>
      <x:c r="G53" s="62" t="str">
        <x:v>Warframe Arcane</x:v>
      </x:c>
      <x:c r="H53" s="62" t="str">
        <x:v>legacy_subcategory=Eidolon; reason=EQUIPMENT_COMPATIBILITY_IS_SEPARATE_FROM_LEGACY_SUBCATEGORY</x:v>
      </x:c>
      <x:c r="I53" s="62" t="str">
        <x:v>NOT_REVIEWED</x:v>
      </x:c>
      <x:c r="J53" s="62" t="str"/>
    </x:row>
    <x:row r="54">
      <x:c r="A54" s="31" t="str">
        <x:v>ARC-0027</x:v>
      </x:c>
      <x:c r="B54" s="31" t="str">
        <x:v>P2</x:v>
      </x:c>
      <x:c r="C54" s="31" t="str">
        <x:v>Arcane Awakening</x:v>
      </x:c>
      <x:c r="D54" s="31" t="str">
        <x:v>Arcane Awakening</x:v>
      </x:c>
      <x:c r="E54" s="31" t="str">
        <x:v>introduced_update</x:v>
      </x:c>
      <x:c r="F54" s="62" t="str">
        <x:v>22.14</x:v>
      </x:c>
      <x:c r="G54" s="62" t="str">
        <x:v>Update 16.0</x:v>
      </x:c>
      <x:c r="H54" s="62" t="str"/>
      <x:c r="I54" s="62" t="str">
        <x:v>NOT_REVIEWED</x:v>
      </x:c>
      <x:c r="J54" s="62" t="str"/>
    </x:row>
    <x:row r="55">
      <x:c r="A55" s="31" t="str">
        <x:v>ARC-0027</x:v>
      </x:c>
      <x:c r="B55" s="31" t="str">
        <x:v>P2</x:v>
      </x:c>
      <x:c r="C55" s="31" t="str">
        <x:v>Arcane Awakening</x:v>
      </x:c>
      <x:c r="D55" s="31" t="str">
        <x:v>Arcane Awakening</x:v>
      </x:c>
      <x:c r="E55" s="31" t="str">
        <x:v>effect_text</x:v>
      </x:c>
      <x:c r="F55" s="62" t="str">
        <x:v>+60% Secondary Damage for 12s</x:v>
      </x:c>
      <x:c r="G55" s="62" t="str">
        <x:v>On Reload:\n60% chance for +150% Damage to Pistols for 24s\n+1 Arcane Revive
+1 Arcane Revive</x:v>
      </x:c>
      <x:c r="H55" s="62" t="str">
        <x:v>comparison=HEURISTIC_TEXT_ONLY</x:v>
      </x:c>
      <x:c r="I55" s="62" t="str">
        <x:v>NOT_REVIEWED</x:v>
      </x:c>
      <x:c r="J55" s="62" t="str"/>
    </x:row>
    <x:row r="56">
      <x:c r="A56" s="31" t="str">
        <x:v>ARC-0028</x:v>
      </x:c>
      <x:c r="B56" s="31" t="str">
        <x:v>P2</x:v>
      </x:c>
      <x:c r="C56" s="31" t="str">
        <x:v>Arcane Barrier</x:v>
      </x:c>
      <x:c r="D56" s="31" t="str">
        <x:v>Arcane Barrier</x:v>
      </x:c>
      <x:c r="E56" s="31" t="str">
        <x:v>unique_name</x:v>
      </x:c>
      <x:c r="F56" s="62" t="str"/>
      <x:c r="G56" s="62" t="str">
        <x:v>/Lotus/Upgrades/CosmeticEnhancers/Defensive/InstantShieldOnDamage</x:v>
      </x:c>
      <x:c r="H56" s="62" t="str">
        <x:v>reason=MISSING_OR_DIFFERENT_STABLE_ID</x:v>
      </x:c>
      <x:c r="I56" s="62" t="str">
        <x:v>NOT_REVIEWED</x:v>
      </x:c>
      <x:c r="J56" s="62" t="str"/>
    </x:row>
    <x:row r="57">
      <x:c r="A57" s="31" t="str">
        <x:v>ARC-0028</x:v>
      </x:c>
      <x:c r="B57" s="31" t="str">
        <x:v>P2</x:v>
      </x:c>
      <x:c r="C57" s="31" t="str">
        <x:v>Arcane Barrier</x:v>
      </x:c>
      <x:c r="D57" s="31" t="str">
        <x:v>Arcane Barrier</x:v>
      </x:c>
      <x:c r="E57" s="31" t="str">
        <x:v>equipment_type</x:v>
      </x:c>
      <x:c r="F57" s="62" t="str"/>
      <x:c r="G57" s="62" t="str">
        <x:v>Warframe Arcane</x:v>
      </x:c>
      <x:c r="H57" s="62" t="str">
        <x:v>legacy_subcategory=Eidolon; reason=EQUIPMENT_COMPATIBILITY_IS_SEPARATE_FROM_LEGACY_SUBCATEGORY</x:v>
      </x:c>
      <x:c r="I57" s="62" t="str">
        <x:v>NOT_REVIEWED</x:v>
      </x:c>
      <x:c r="J57" s="62" t="str"/>
    </x:row>
    <x:row r="58">
      <x:c r="A58" s="31" t="str">
        <x:v>ARC-0028</x:v>
      </x:c>
      <x:c r="B58" s="31" t="str">
        <x:v>P2</x:v>
      </x:c>
      <x:c r="C58" s="31" t="str">
        <x:v>Arcane Barrier</x:v>
      </x:c>
      <x:c r="D58" s="31" t="str">
        <x:v>Arcane Barrier</x:v>
      </x:c>
      <x:c r="E58" s="31" t="str">
        <x:v>introduced_update</x:v>
      </x:c>
      <x:c r="F58" s="62" t="str">
        <x:v>22.14</x:v>
      </x:c>
      <x:c r="G58" s="62" t="str">
        <x:v>Update 16.0</x:v>
      </x:c>
      <x:c r="H58" s="62" t="str"/>
      <x:c r="I58" s="62" t="str">
        <x:v>NOT_REVIEWED</x:v>
      </x:c>
      <x:c r="J58" s="62" t="str"/>
    </x:row>
    <x:row r="59">
      <x:c r="A59" s="31" t="str">
        <x:v>ARC-0028</x:v>
      </x:c>
      <x:c r="B59" s="31" t="str">
        <x:v>P2</x:v>
      </x:c>
      <x:c r="C59" s="31" t="str">
        <x:v>Arcane Barrier</x:v>
      </x:c>
      <x:c r="D59" s="31" t="str">
        <x:v>Arcane Barrier</x:v>
      </x:c>
      <x:c r="E59" s="31" t="str">
        <x:v>effect_text</x:v>
      </x:c>
      <x:c r="F59" s="62" t="str">
        <x:v>60% chance: Instantly restore all Shields</x:v>
      </x:c>
      <x:c r="G59" s="62" t="str">
        <x:v>On Shield Damaged:\n6% chance to instantly restore all Shields\n6s cooldown\n+1 Arcane Revive
+1 Arcane Revive</x:v>
      </x:c>
      <x:c r="H59" s="62" t="str">
        <x:v>comparison=HEURISTIC_TEXT_ONLY</x:v>
      </x:c>
      <x:c r="I59" s="62" t="str">
        <x:v>NOT_REVIEWED</x:v>
      </x:c>
      <x:c r="J59" s="62" t="str"/>
    </x:row>
    <x:row r="60">
      <x:c r="A60" s="31" t="str">
        <x:v>ARC-0029</x:v>
      </x:c>
      <x:c r="B60" s="31" t="str">
        <x:v>P0</x:v>
      </x:c>
      <x:c r="C60" s="31" t="str">
        <x:v>Arcane Battery</x:v>
      </x:c>
      <x:c r="D60" s="31" t="str">
        <x:v>Arcane Battery</x:v>
      </x:c>
      <x:c r="E60" s="31" t="str">
        <x:v>unique_name</x:v>
      </x:c>
      <x:c r="F60" s="62" t="str"/>
      <x:c r="G60" s="62" t="str">
        <x:v>/Lotus/Upgrades/CosmeticEnhancers/Offensive/MaxEnergyForArmor</x:v>
      </x:c>
      <x:c r="H60" s="62" t="str">
        <x:v>reason=MISSING_OR_DIFFERENT_STABLE_ID</x:v>
      </x:c>
      <x:c r="I60" s="62" t="str">
        <x:v>NOT_REVIEWED</x:v>
      </x:c>
      <x:c r="J60" s="62" t="str"/>
    </x:row>
    <x:row r="61">
      <x:c r="A61" s="31" t="str">
        <x:v>ARC-0029</x:v>
      </x:c>
      <x:c r="B61" s="31" t="str">
        <x:v>P0</x:v>
      </x:c>
      <x:c r="C61" s="31" t="str">
        <x:v>Arcane Battery</x:v>
      </x:c>
      <x:c r="D61" s="31" t="str">
        <x:v>Arcane Battery</x:v>
      </x:c>
      <x:c r="E61" s="31" t="str">
        <x:v>equipment_type</x:v>
      </x:c>
      <x:c r="F61" s="62" t="str"/>
      <x:c r="G61" s="62" t="str">
        <x:v>Warframe Arcane</x:v>
      </x:c>
      <x:c r="H61" s="62" t="str">
        <x:v>legacy_subcategory=Netracell; reason=EQUIPMENT_COMPATIBILITY_IS_SEPARATE_FROM_LEGACY_SUBCATEGORY</x:v>
      </x:c>
      <x:c r="I61" s="62" t="str">
        <x:v>NOT_REVIEWED</x:v>
      </x:c>
      <x:c r="J61" s="62" t="str"/>
    </x:row>
    <x:row r="62">
      <x:c r="A62" s="31" t="str">
        <x:v>ARC-0029</x:v>
      </x:c>
      <x:c r="B62" s="31" t="str">
        <x:v>P0</x:v>
      </x:c>
      <x:c r="C62" s="31" t="str">
        <x:v>Arcane Battery</x:v>
      </x:c>
      <x:c r="D62" s="31" t="str">
        <x:v>Arcane Battery</x:v>
      </x:c>
      <x:c r="E62" s="31" t="str">
        <x:v>introduced_update</x:v>
      </x:c>
      <x:c r="F62" s="62" t="str">
        <x:v>35.0</x:v>
      </x:c>
      <x:c r="G62" s="62" t="str">
        <x:v>Update 36.0</x:v>
      </x:c>
      <x:c r="H62" s="62" t="str"/>
      <x:c r="I62" s="62" t="str">
        <x:v>NOT_REVIEWED</x:v>
      </x:c>
      <x:c r="J62" s="62" t="str"/>
    </x:row>
    <x:row r="63">
      <x:c r="A63" s="31" t="str">
        <x:v>ARC-0029</x:v>
      </x:c>
      <x:c r="B63" s="31" t="str">
        <x:v>P0</x:v>
      </x:c>
      <x:c r="C63" s="31" t="str">
        <x:v>Arcane Battery</x:v>
      </x:c>
      <x:c r="D63" s="31" t="str">
        <x:v>Arcane Battery</x:v>
      </x:c>
      <x:c r="E63" s="31" t="str">
        <x:v>effect_text</x:v>
      </x:c>
      <x:c r="F63" s="62" t="str">
        <x:v>When Overshields are active: abilities cost 0 Energy</x:v>
      </x:c>
      <x:c r="G63" s="62" t="str">
        <x:v>Gain 0.30 maximum Energy per Armor point, up to 1000 Energy.\n+1 Arcane Revive
+1 Arcane Revive</x:v>
      </x:c>
      <x:c r="H63" s="62" t="str">
        <x:v>comparison=HEURISTIC_TEXT_ONLY</x:v>
      </x:c>
      <x:c r="I63" s="62" t="str">
        <x:v>NOT_REVIEWED</x:v>
      </x:c>
      <x:c r="J63" s="62" t="str"/>
    </x:row>
    <x:row r="64">
      <x:c r="A64" s="31" t="str">
        <x:v>ARC-0030</x:v>
      </x:c>
      <x:c r="B64" s="31" t="str">
        <x:v>P0</x:v>
      </x:c>
      <x:c r="C64" s="31" t="str">
        <x:v>Arcane Bellicose</x:v>
      </x:c>
      <x:c r="D64" s="31" t="str">
        <x:v>Arcane Bellicose</x:v>
      </x:c>
      <x:c r="E64" s="31" t="str">
        <x:v>unique_name</x:v>
      </x:c>
      <x:c r="F64" s="62" t="str"/>
      <x:c r="G64" s="62" t="str">
        <x:v>/Lotus/Upgrades/CosmeticEnhancers/Offensive/AbilityStrengthForMaxHealth</x:v>
      </x:c>
      <x:c r="H64" s="62" t="str">
        <x:v>reason=MISSING_OR_DIFFERENT_STABLE_ID</x:v>
      </x:c>
      <x:c r="I64" s="62" t="str">
        <x:v>NOT_REVIEWED</x:v>
      </x:c>
      <x:c r="J64" s="62" t="str"/>
    </x:row>
    <x:row r="65">
      <x:c r="A65" s="31" t="str">
        <x:v>ARC-0030</x:v>
      </x:c>
      <x:c r="B65" s="31" t="str">
        <x:v>P0</x:v>
      </x:c>
      <x:c r="C65" s="31" t="str">
        <x:v>Arcane Bellicose</x:v>
      </x:c>
      <x:c r="D65" s="31" t="str">
        <x:v>Arcane Bellicose</x:v>
      </x:c>
      <x:c r="E65" s="31" t="str">
        <x:v>equipment_type</x:v>
      </x:c>
      <x:c r="F65" s="62" t="str"/>
      <x:c r="G65" s="62" t="str">
        <x:v>Warframe Arcane</x:v>
      </x:c>
      <x:c r="H65" s="62" t="str">
        <x:v>legacy_subcategory=Netracell; reason=EQUIPMENT_COMPATIBILITY_IS_SEPARATE_FROM_LEGACY_SUBCATEGORY</x:v>
      </x:c>
      <x:c r="I65" s="62" t="str">
        <x:v>NOT_REVIEWED</x:v>
      </x:c>
      <x:c r="J65" s="62" t="str"/>
    </x:row>
    <x:row r="66">
      <x:c r="A66" s="31" t="str">
        <x:v>ARC-0030</x:v>
      </x:c>
      <x:c r="B66" s="31" t="str">
        <x:v>P0</x:v>
      </x:c>
      <x:c r="C66" s="31" t="str">
        <x:v>Arcane Bellicose</x:v>
      </x:c>
      <x:c r="D66" s="31" t="str">
        <x:v>Arcane Bellicose</x:v>
      </x:c>
      <x:c r="E66" s="31" t="str">
        <x:v>introduced_update</x:v>
      </x:c>
      <x:c r="F66" s="62" t="str">
        <x:v>35.0</x:v>
      </x:c>
      <x:c r="G66" s="62" t="str">
        <x:v>Update 38.0</x:v>
      </x:c>
      <x:c r="H66" s="62" t="str"/>
      <x:c r="I66" s="62" t="str">
        <x:v>NOT_REVIEWED</x:v>
      </x:c>
      <x:c r="J66" s="62" t="str"/>
    </x:row>
    <x:row r="67">
      <x:c r="A67" s="31" t="str">
        <x:v>ARC-0030</x:v>
      </x:c>
      <x:c r="B67" s="31" t="str">
        <x:v>P0</x:v>
      </x:c>
      <x:c r="C67" s="31" t="str">
        <x:v>Arcane Bellicose</x:v>
      </x:c>
      <x:c r="D67" s="31" t="str">
        <x:v>Arcane Bellicose</x:v>
      </x:c>
      <x:c r="E67" s="31" t="str">
        <x:v>effect_text</x:v>
      </x:c>
      <x:c r="F67" s="62" t="str">
        <x:v>+45% Ability Strength for 20s per kill (stacking)</x:v>
      </x:c>
      <x:c r="G67" s="62" t="str">
        <x:v>Gain 6% Ability Strength for every 250 Max Health up to 72%.\n+1 Arcane Revive
+1 Arcane Revive</x:v>
      </x:c>
      <x:c r="H67" s="62" t="str">
        <x:v>comparison=HEURISTIC_TEXT_ONLY</x:v>
      </x:c>
      <x:c r="I67" s="62" t="str">
        <x:v>NOT_REVIEWED</x:v>
      </x:c>
      <x:c r="J67" s="62" t="str"/>
    </x:row>
    <x:row r="68">
      <x:c r="A68" s="31" t="str">
        <x:v>ARC-0031</x:v>
      </x:c>
      <x:c r="B68" s="31" t="str">
        <x:v>P2</x:v>
      </x:c>
      <x:c r="C68" s="31" t="str">
        <x:v>Arcane Blade Charger</x:v>
      </x:c>
      <x:c r="D68" s="31" t="str">
        <x:v>Arcane Blade Charger</x:v>
      </x:c>
      <x:c r="E68" s="31" t="str">
        <x:v>unique_name</x:v>
      </x:c>
      <x:c r="F68" s="62" t="str"/>
      <x:c r="G68" s="62" t="str">
        <x:v>/Lotus/Upgrades/CosmeticEnhancers/Offensive/MeleeDmgOnRifleKill</x:v>
      </x:c>
      <x:c r="H68" s="62" t="str">
        <x:v>reason=MISSING_OR_DIFFERENT_STABLE_ID</x:v>
      </x:c>
      <x:c r="I68" s="62" t="str">
        <x:v>NOT_REVIEWED</x:v>
      </x:c>
      <x:c r="J68" s="62" t="str"/>
    </x:row>
    <x:row r="69">
      <x:c r="A69" s="31" t="str">
        <x:v>ARC-0031</x:v>
      </x:c>
      <x:c r="B69" s="31" t="str">
        <x:v>P2</x:v>
      </x:c>
      <x:c r="C69" s="31" t="str">
        <x:v>Arcane Blade Charger</x:v>
      </x:c>
      <x:c r="D69" s="31" t="str">
        <x:v>Arcane Blade Charger</x:v>
      </x:c>
      <x:c r="E69" s="31" t="str">
        <x:v>equipment_type</x:v>
      </x:c>
      <x:c r="F69" s="62" t="str"/>
      <x:c r="G69" s="62" t="str">
        <x:v>Warframe Arcane</x:v>
      </x:c>
      <x:c r="H69" s="62" t="str">
        <x:v>legacy_subcategory=Eidolon; reason=EQUIPMENT_COMPATIBILITY_IS_SEPARATE_FROM_LEGACY_SUBCATEGORY</x:v>
      </x:c>
      <x:c r="I69" s="62" t="str">
        <x:v>NOT_REVIEWED</x:v>
      </x:c>
      <x:c r="J69" s="62" t="str"/>
    </x:row>
    <x:row r="70">
      <x:c r="A70" s="31" t="str">
        <x:v>ARC-0031</x:v>
      </x:c>
      <x:c r="B70" s="31" t="str">
        <x:v>P2</x:v>
      </x:c>
      <x:c r="C70" s="31" t="str">
        <x:v>Arcane Blade Charger</x:v>
      </x:c>
      <x:c r="D70" s="31" t="str">
        <x:v>Arcane Blade Charger</x:v>
      </x:c>
      <x:c r="E70" s="31" t="str">
        <x:v>introduced_update</x:v>
      </x:c>
      <x:c r="F70" s="62" t="str">
        <x:v>25.7.6</x:v>
      </x:c>
      <x:c r="G70" s="62" t="str">
        <x:v>Hotfix 25.7.6</x:v>
      </x:c>
      <x:c r="H70" s="62" t="str"/>
      <x:c r="I70" s="62" t="str">
        <x:v>NOT_REVIEWED</x:v>
      </x:c>
      <x:c r="J70" s="62" t="str"/>
    </x:row>
    <x:row r="71">
      <x:c r="A71" s="31" t="str">
        <x:v>ARC-0031</x:v>
      </x:c>
      <x:c r="B71" s="31" t="str">
        <x:v>P2</x:v>
      </x:c>
      <x:c r="C71" s="31" t="str">
        <x:v>Arcane Blade Charger</x:v>
      </x:c>
      <x:c r="D71" s="31" t="str">
        <x:v>Arcane Blade Charger</x:v>
      </x:c>
      <x:c r="E71" s="31" t="str">
        <x:v>effect_text</x:v>
      </x:c>
      <x:c r="F71" s="62" t="str">
        <x:v>+100% Melee Damage for 24s</x:v>
      </x:c>
      <x:c r="G71" s="62" t="str">
        <x:v>On Primary Weapon Kill:\n30% chance for +300% Melee Damage for 12s\n+1 Arcane Revive
+1 Arcane Revive</x:v>
      </x:c>
      <x:c r="H71" s="62" t="str">
        <x:v>comparison=HEURISTIC_TEXT_ONLY</x:v>
      </x:c>
      <x:c r="I71" s="62" t="str">
        <x:v>NOT_REVIEWED</x:v>
      </x:c>
      <x:c r="J71" s="62" t="str"/>
    </x:row>
    <x:row r="72">
      <x:c r="A72" s="31" t="str">
        <x:v>ARC-0032</x:v>
      </x:c>
      <x:c r="B72" s="31" t="str">
        <x:v>P2</x:v>
      </x:c>
      <x:c r="C72" s="31" t="str">
        <x:v>Arcane Blessing</x:v>
      </x:c>
      <x:c r="D72" s="31" t="str">
        <x:v>Arcane Blessing</x:v>
      </x:c>
      <x:c r="E72" s="31" t="str">
        <x:v>unique_name</x:v>
      </x:c>
      <x:c r="F72" s="62" t="str"/>
      <x:c r="G72" s="62" t="str">
        <x:v>/Lotus/Upgrades/CosmeticEnhancers/Defensive/IncreaseMaxHealthOnHealthPickup</x:v>
      </x:c>
      <x:c r="H72" s="62" t="str">
        <x:v>reason=MISSING_OR_DIFFERENT_STABLE_ID</x:v>
      </x:c>
      <x:c r="I72" s="62" t="str">
        <x:v>NOT_REVIEWED</x:v>
      </x:c>
      <x:c r="J72" s="62" t="str"/>
    </x:row>
    <x:row r="73">
      <x:c r="A73" s="31" t="str">
        <x:v>ARC-0032</x:v>
      </x:c>
      <x:c r="B73" s="31" t="str">
        <x:v>P2</x:v>
      </x:c>
      <x:c r="C73" s="31" t="str">
        <x:v>Arcane Blessing</x:v>
      </x:c>
      <x:c r="D73" s="31" t="str">
        <x:v>Arcane Blessing</x:v>
      </x:c>
      <x:c r="E73" s="31" t="str">
        <x:v>equipment_type</x:v>
      </x:c>
      <x:c r="F73" s="62" t="str"/>
      <x:c r="G73" s="62" t="str">
        <x:v>Warframe Arcane</x:v>
      </x:c>
      <x:c r="H73" s="62" t="str">
        <x:v>legacy_subcategory=Eidolon; reason=EQUIPMENT_COMPATIBILITY_IS_SEPARATE_FROM_LEGACY_SUBCATEGORY</x:v>
      </x:c>
      <x:c r="I73" s="62" t="str">
        <x:v>NOT_REVIEWED</x:v>
      </x:c>
      <x:c r="J73" s="62" t="str"/>
    </x:row>
    <x:row r="74">
      <x:c r="A74" s="31" t="str">
        <x:v>ARC-0032</x:v>
      </x:c>
      <x:c r="B74" s="31" t="str">
        <x:v>P2</x:v>
      </x:c>
      <x:c r="C74" s="31" t="str">
        <x:v>Arcane Blessing</x:v>
      </x:c>
      <x:c r="D74" s="31" t="str">
        <x:v>Arcane Blessing</x:v>
      </x:c>
      <x:c r="E74" s="31" t="str">
        <x:v>introduced_update</x:v>
      </x:c>
      <x:c r="F74" s="62" t="str">
        <x:v>22.14</x:v>
      </x:c>
      <x:c r="G74" s="62" t="str">
        <x:v>Update 32.2</x:v>
      </x:c>
      <x:c r="H74" s="62" t="str"/>
      <x:c r="I74" s="62" t="str">
        <x:v>NOT_REVIEWED</x:v>
      </x:c>
      <x:c r="J74" s="62" t="str"/>
    </x:row>
    <x:row r="75">
      <x:c r="A75" s="31" t="str">
        <x:v>ARC-0032</x:v>
      </x:c>
      <x:c r="B75" s="31" t="str">
        <x:v>P2</x:v>
      </x:c>
      <x:c r="C75" s="31" t="str">
        <x:v>Arcane Blessing</x:v>
      </x:c>
      <x:c r="D75" s="31" t="str">
        <x:v>Arcane Blessing</x:v>
      </x:c>
      <x:c r="E75" s="31" t="str">
        <x:v>effect_text</x:v>
      </x:c>
      <x:c r="F75" s="62" t="str">
        <x:v>+900 Max Health for 30s (stackable)</x:v>
      </x:c>
      <x:c r="G75" s="62" t="str">
        <x:v>On Health Pickup:\n+24 Max Health. Stacks up to 50x.\n+1 Arcane Revive
+1 Arcane Revive</x:v>
      </x:c>
      <x:c r="H75" s="62" t="str">
        <x:v>comparison=HEURISTIC_TEXT_ONLY</x:v>
      </x:c>
      <x:c r="I75" s="62" t="str">
        <x:v>NOT_REVIEWED</x:v>
      </x:c>
      <x:c r="J75" s="62" t="str"/>
    </x:row>
    <x:row r="76">
      <x:c r="A76" s="31" t="str">
        <x:v>ARC-0033</x:v>
      </x:c>
      <x:c r="B76" s="31" t="str">
        <x:v>P2</x:v>
      </x:c>
      <x:c r="C76" s="31" t="str">
        <x:v>Arcane Bodyguard</x:v>
      </x:c>
      <x:c r="D76" s="31" t="str">
        <x:v>Arcane Bodyguard</x:v>
      </x:c>
      <x:c r="E76" s="31" t="str">
        <x:v>unique_name</x:v>
      </x:c>
      <x:c r="F76" s="62" t="str"/>
      <x:c r="G76" s="62" t="str">
        <x:v>/Lotus/Upgrades/CosmeticEnhancers/Offensive/HealCompanionOnSixMeleeKills</x:v>
      </x:c>
      <x:c r="H76" s="62" t="str">
        <x:v>reason=MISSING_OR_DIFFERENT_STABLE_ID</x:v>
      </x:c>
      <x:c r="I76" s="62" t="str">
        <x:v>NOT_REVIEWED</x:v>
      </x:c>
      <x:c r="J76" s="62" t="str"/>
    </x:row>
    <x:row r="77">
      <x:c r="A77" s="31" t="str">
        <x:v>ARC-0033</x:v>
      </x:c>
      <x:c r="B77" s="31" t="str">
        <x:v>P2</x:v>
      </x:c>
      <x:c r="C77" s="31" t="str">
        <x:v>Arcane Bodyguard</x:v>
      </x:c>
      <x:c r="D77" s="31" t="str">
        <x:v>Arcane Bodyguard</x:v>
      </x:c>
      <x:c r="E77" s="31" t="str">
        <x:v>equipment_type</x:v>
      </x:c>
      <x:c r="F77" s="62" t="str"/>
      <x:c r="G77" s="62" t="str">
        <x:v>Warframe Arcane</x:v>
      </x:c>
      <x:c r="H77" s="62" t="str">
        <x:v>legacy_subcategory=Eidolon; reason=EQUIPMENT_COMPATIBILITY_IS_SEPARATE_FROM_LEGACY_SUBCATEGORY</x:v>
      </x:c>
      <x:c r="I77" s="62" t="str">
        <x:v>NOT_REVIEWED</x:v>
      </x:c>
      <x:c r="J77" s="62" t="str"/>
    </x:row>
    <x:row r="78">
      <x:c r="A78" s="31" t="str">
        <x:v>ARC-0033</x:v>
      </x:c>
      <x:c r="B78" s="31" t="str">
        <x:v>P2</x:v>
      </x:c>
      <x:c r="C78" s="31" t="str">
        <x:v>Arcane Bodyguard</x:v>
      </x:c>
      <x:c r="D78" s="31" t="str">
        <x:v>Arcane Bodyguard</x:v>
      </x:c>
      <x:c r="E78" s="31" t="str">
        <x:v>introduced_update</x:v>
      </x:c>
      <x:c r="F78" s="62" t="str">
        <x:v>25.7.6</x:v>
      </x:c>
      <x:c r="G78" s="62" t="str">
        <x:v>Hotfix 25.7.6</x:v>
      </x:c>
      <x:c r="H78" s="62" t="str"/>
      <x:c r="I78" s="62" t="str">
        <x:v>NOT_REVIEWED</x:v>
      </x:c>
      <x:c r="J78" s="62" t="str"/>
    </x:row>
    <x:row r="79">
      <x:c r="A79" s="31" t="str">
        <x:v>ARC-0033</x:v>
      </x:c>
      <x:c r="B79" s="31" t="str">
        <x:v>P2</x:v>
      </x:c>
      <x:c r="C79" s="31" t="str">
        <x:v>Arcane Bodyguard</x:v>
      </x:c>
      <x:c r="D79" s="31" t="str">
        <x:v>Arcane Bodyguard</x:v>
      </x:c>
      <x:c r="E79" s="31" t="str">
        <x:v>effect_text</x:v>
      </x:c>
      <x:c r="F79" s="62" t="str">
        <x:v>Companion gains 750 HP regen/s for 10s</x:v>
      </x:c>
      <x:c r="G79" s="62" t="str">
        <x:v>On 6 Melee Kills within 30s:\nHeal Companion for 900\n+1 Arcane Revive
+1 Arcane Revive</x:v>
      </x:c>
      <x:c r="H79" s="62" t="str">
        <x:v>comparison=HEURISTIC_TEXT_ONLY</x:v>
      </x:c>
      <x:c r="I79" s="62" t="str">
        <x:v>NOT_REVIEWED</x:v>
      </x:c>
      <x:c r="J79" s="62" t="str"/>
    </x:row>
    <x:row r="80">
      <x:c r="A80" s="31" t="str">
        <x:v>ARC-0034</x:v>
      </x:c>
      <x:c r="B80" s="31" t="str">
        <x:v>P0</x:v>
      </x:c>
      <x:c r="C80" s="31" t="str">
        <x:v>Arcane Camisado</x:v>
      </x:c>
      <x:c r="D80" s="31" t="str">
        <x:v>Arcane Camisado</x:v>
      </x:c>
      <x:c r="E80" s="31" t="str">
        <x:v>unique_name</x:v>
      </x:c>
      <x:c r="F80" s="62" t="str"/>
      <x:c r="G80" s="62" t="str">
        <x:v>/Lotus/Upgrades/CosmeticEnhancers/Offensive/AbilityStrengthOnSummonAttack</x:v>
      </x:c>
      <x:c r="H80" s="62" t="str">
        <x:v>reason=MISSING_OR_DIFFERENT_STABLE_ID</x:v>
      </x:c>
      <x:c r="I80" s="62" t="str">
        <x:v>NOT_REVIEWED</x:v>
      </x:c>
      <x:c r="J80" s="62" t="str"/>
    </x:row>
    <x:row r="81">
      <x:c r="A81" s="31" t="str">
        <x:v>ARC-0034</x:v>
      </x:c>
      <x:c r="B81" s="31" t="str">
        <x:v>P0</x:v>
      </x:c>
      <x:c r="C81" s="31" t="str">
        <x:v>Arcane Camisado</x:v>
      </x:c>
      <x:c r="D81" s="31" t="str">
        <x:v>Arcane Camisado</x:v>
      </x:c>
      <x:c r="E81" s="31" t="str">
        <x:v>equipment_type</x:v>
      </x:c>
      <x:c r="F81" s="62" t="str"/>
      <x:c r="G81" s="62" t="str">
        <x:v>Warframe Arcane</x:v>
      </x:c>
      <x:c r="H81" s="62" t="str">
        <x:v>legacy_subcategory=Netracell; reason=EQUIPMENT_COMPATIBILITY_IS_SEPARATE_FROM_LEGACY_SUBCATEGORY</x:v>
      </x:c>
      <x:c r="I81" s="62" t="str">
        <x:v>NOT_REVIEWED</x:v>
      </x:c>
      <x:c r="J81" s="62" t="str"/>
    </x:row>
    <x:row r="82">
      <x:c r="A82" s="31" t="str">
        <x:v>ARC-0034</x:v>
      </x:c>
      <x:c r="B82" s="31" t="str">
        <x:v>P0</x:v>
      </x:c>
      <x:c r="C82" s="31" t="str">
        <x:v>Arcane Camisado</x:v>
      </x:c>
      <x:c r="D82" s="31" t="str">
        <x:v>Arcane Camisado</x:v>
      </x:c>
      <x:c r="E82" s="31" t="str">
        <x:v>introduced_update</x:v>
      </x:c>
      <x:c r="F82" s="62" t="str">
        <x:v>35.0</x:v>
      </x:c>
      <x:c r="G82" s="62" t="str">
        <x:v>Update 38.0</x:v>
      </x:c>
      <x:c r="H82" s="62" t="str"/>
      <x:c r="I82" s="62" t="str">
        <x:v>NOT_REVIEWED</x:v>
      </x:c>
      <x:c r="J82" s="62" t="str"/>
    </x:row>
    <x:row r="83">
      <x:c r="A83" s="31" t="str">
        <x:v>ARC-0034</x:v>
      </x:c>
      <x:c r="B83" s="31" t="str">
        <x:v>P0</x:v>
      </x:c>
      <x:c r="C83" s="31" t="str">
        <x:v>Arcane Camisado</x:v>
      </x:c>
      <x:c r="D83" s="31" t="str">
        <x:v>Arcane Camisado</x:v>
      </x:c>
      <x:c r="E83" s="31" t="str">
        <x:v>effect_text</x:v>
      </x:c>
      <x:c r="F83" s="62" t="str">
        <x:v>+150% Melee Damage for 20s after finisher</x:v>
      </x:c>
      <x:c r="G83" s="62" t="str">
        <x:v>Attacks from summoned minions increase Ability Strength by 6% up to 60% on the next Ability Cast. Summons gain 20% Movement Speed.\n+1 Arcane Revive
+1 Arcane Revive</x:v>
      </x:c>
      <x:c r="H83" s="62" t="str">
        <x:v>comparison=HEURISTIC_TEXT_ONLY</x:v>
      </x:c>
      <x:c r="I83" s="62" t="str">
        <x:v>NOT_REVIEWED</x:v>
      </x:c>
      <x:c r="J83" s="62" t="str"/>
    </x:row>
    <x:row r="84">
      <x:c r="A84" s="31" t="str">
        <x:v>ARC-0035</x:v>
      </x:c>
      <x:c r="B84" s="31" t="str">
        <x:v>P2</x:v>
      </x:c>
      <x:c r="C84" s="31" t="str">
        <x:v>Arcane Circumvent</x:v>
      </x:c>
      <x:c r="D84" s="31" t="str">
        <x:v>Arcane Circumvent</x:v>
      </x:c>
      <x:c r="E84" s="31" t="str">
        <x:v>unique_name</x:v>
      </x:c>
      <x:c r="F84" s="62" t="str"/>
      <x:c r="G84" s="62" t="str">
        <x:v>/Lotus/Upgrades/CosmeticEnhancers/Defensive/StealDefensiveStatsOnRoll</x:v>
      </x:c>
      <x:c r="H84" s="62" t="str">
        <x:v>reason=MISSING_OR_DIFFERENT_STABLE_ID</x:v>
      </x:c>
      <x:c r="I84" s="62" t="str">
        <x:v>NOT_REVIEWED</x:v>
      </x:c>
      <x:c r="J84" s="62" t="str"/>
    </x:row>
    <x:row r="85">
      <x:c r="A85" s="31" t="str">
        <x:v>ARC-0035</x:v>
      </x:c>
      <x:c r="B85" s="31" t="str">
        <x:v>P2</x:v>
      </x:c>
      <x:c r="C85" s="31" t="str">
        <x:v>Arcane Circumvent</x:v>
      </x:c>
      <x:c r="D85" s="31" t="str">
        <x:v>Arcane Circumvent</x:v>
      </x:c>
      <x:c r="E85" s="31" t="str">
        <x:v>equipment_type</x:v>
      </x:c>
      <x:c r="F85" s="62" t="str"/>
      <x:c r="G85" s="62" t="str">
        <x:v>Warframe Arcane</x:v>
      </x:c>
      <x:c r="H85" s="62" t="str">
        <x:v>legacy_subcategory=Descendia; reason=EQUIPMENT_COMPATIBILITY_IS_SEPARATE_FROM_LEGACY_SUBCATEGORY</x:v>
      </x:c>
      <x:c r="I85" s="62" t="str">
        <x:v>NOT_REVIEWED</x:v>
      </x:c>
      <x:c r="J85" s="62" t="str"/>
    </x:row>
    <x:row r="86">
      <x:c r="A86" s="31" t="str">
        <x:v>ARC-0035</x:v>
      </x:c>
      <x:c r="B86" s="31" t="str">
        <x:v>P2</x:v>
      </x:c>
      <x:c r="C86" s="31" t="str">
        <x:v>Arcane Circumvent</x:v>
      </x:c>
      <x:c r="D86" s="31" t="str">
        <x:v>Arcane Circumvent</x:v>
      </x:c>
      <x:c r="E86" s="31" t="str">
        <x:v>introduced_update</x:v>
      </x:c>
      <x:c r="F86" s="62" t="str">
        <x:v>41.0</x:v>
      </x:c>
      <x:c r="G86" s="62" t="str">
        <x:v>Update 41.0</x:v>
      </x:c>
      <x:c r="H86" s="62" t="str"/>
      <x:c r="I86" s="62" t="str">
        <x:v>NOT_REVIEWED</x:v>
      </x:c>
      <x:c r="J86" s="62" t="str"/>
    </x:row>
    <x:row r="87">
      <x:c r="A87" s="31" t="str">
        <x:v>ARC-0035</x:v>
      </x:c>
      <x:c r="B87" s="31" t="str">
        <x:v>P2</x:v>
      </x:c>
      <x:c r="C87" s="31" t="str">
        <x:v>Arcane Circumvent</x:v>
      </x:c>
      <x:c r="D87" s="31" t="str">
        <x:v>Arcane Circumvent</x:v>
      </x:c>
      <x:c r="E87" s="31" t="str">
        <x:v>effect_text</x:v>
      </x:c>
      <x:c r="F87" s="62" t="str">
        <x:v>Steal 50% of enemy defenses (Armor/Shields) for yourself for 20s</x:v>
      </x:c>
      <x:c r="G87" s="62" t="str">
        <x:v>Roll through enemies to steal 50% of their defenses for yourself. Stolen Armor lasts 15s.\n+1 Arcane Revive
+1 Arcane Revive</x:v>
      </x:c>
      <x:c r="H87" s="62" t="str">
        <x:v>comparison=HEURISTIC_TEXT_ONLY</x:v>
      </x:c>
      <x:c r="I87" s="62" t="str">
        <x:v>NOT_REVIEWED</x:v>
      </x:c>
      <x:c r="J87" s="62" t="str"/>
    </x:row>
    <x:row r="88">
      <x:c r="A88" s="31" t="str">
        <x:v>ARC-0036</x:v>
      </x:c>
      <x:c r="B88" s="31" t="str">
        <x:v>P2</x:v>
      </x:c>
      <x:c r="C88" s="31" t="str">
        <x:v>Arcane Concentration</x:v>
      </x:c>
      <x:c r="D88" s="31" t="str">
        <x:v>Arcane Concentration</x:v>
      </x:c>
      <x:c r="E88" s="31" t="str">
        <x:v>unique_name</x:v>
      </x:c>
      <x:c r="F88" s="62" t="str"/>
      <x:c r="G88" s="62" t="str">
        <x:v>/Lotus/Upgrades/CosmeticEnhancers/Utility/AbilityDurationOnCast</x:v>
      </x:c>
      <x:c r="H88" s="62" t="str">
        <x:v>reason=MISSING_OR_DIFFERENT_STABLE_ID</x:v>
      </x:c>
      <x:c r="I88" s="62" t="str">
        <x:v>NOT_REVIEWED</x:v>
      </x:c>
      <x:c r="J88" s="62" t="str"/>
    </x:row>
    <x:row r="89">
      <x:c r="A89" s="31" t="str">
        <x:v>ARC-0036</x:v>
      </x:c>
      <x:c r="B89" s="31" t="str">
        <x:v>P2</x:v>
      </x:c>
      <x:c r="C89" s="31" t="str">
        <x:v>Arcane Concentration</x:v>
      </x:c>
      <x:c r="D89" s="31" t="str">
        <x:v>Arcane Concentration</x:v>
      </x:c>
      <x:c r="E89" s="31" t="str">
        <x:v>equipment_type</x:v>
      </x:c>
      <x:c r="F89" s="62" t="str"/>
      <x:c r="G89" s="62" t="str">
        <x:v>Warframe Arcane</x:v>
      </x:c>
      <x:c r="H89" s="62" t="str">
        <x:v>legacy_subcategory=; reason=EQUIPMENT_COMPATIBILITY_IS_SEPARATE_FROM_LEGACY_SUBCATEGORY</x:v>
      </x:c>
      <x:c r="I89" s="62" t="str">
        <x:v>NOT_REVIEWED</x:v>
      </x:c>
      <x:c r="J89" s="62" t="str"/>
    </x:row>
    <x:row r="90">
      <x:c r="A90" s="31" t="str">
        <x:v>ARC-0036</x:v>
      </x:c>
      <x:c r="B90" s="31" t="str">
        <x:v>P2</x:v>
      </x:c>
      <x:c r="C90" s="31" t="str">
        <x:v>Arcane Concentration</x:v>
      </x:c>
      <x:c r="D90" s="31" t="str">
        <x:v>Arcane Concentration</x:v>
      </x:c>
      <x:c r="E90" s="31" t="str">
        <x:v>introduced_update</x:v>
      </x:c>
      <x:c r="F90" s="62" t="str"/>
      <x:c r="G90" s="62" t="str">
        <x:v>Update 41.0</x:v>
      </x:c>
      <x:c r="H90" s="62" t="str"/>
      <x:c r="I90" s="62" t="str">
        <x:v>NOT_REVIEWED</x:v>
      </x:c>
      <x:c r="J90" s="62" t="str"/>
    </x:row>
    <x:row r="91">
      <x:c r="A91" s="31" t="str">
        <x:v>ARC-0036</x:v>
      </x:c>
      <x:c r="B91" s="31" t="str">
        <x:v>P2</x:v>
      </x:c>
      <x:c r="C91" s="31" t="str">
        <x:v>Arcane Concentration</x:v>
      </x:c>
      <x:c r="D91" s="31" t="str">
        <x:v>Arcane Concentration</x:v>
      </x:c>
      <x:c r="E91" s="31" t="str">
        <x:v>effect_text</x:v>
      </x:c>
      <x:c r="F91" s="62" t="str"/>
      <x:c r="G91" s="62" t="str">
        <x:v>On Ability Cast:\n+60% Ability Duration for 3s\n+1 Arcane Revive
+1 Arcane Revive</x:v>
      </x:c>
      <x:c r="H91" s="62" t="str">
        <x:v>comparison=HEURISTIC_TEXT_ONLY</x:v>
      </x:c>
      <x:c r="I91" s="62" t="str">
        <x:v>NOT_REVIEWED</x:v>
      </x:c>
      <x:c r="J91" s="62" t="str"/>
    </x:row>
    <x:row r="92">
      <x:c r="A92" s="31" t="str">
        <x:v>ARC-0037</x:v>
      </x:c>
      <x:c r="B92" s="31" t="str">
        <x:v>P2</x:v>
      </x:c>
      <x:c r="C92" s="31" t="str">
        <x:v>Arcane Consequence</x:v>
      </x:c>
      <x:c r="D92" s="31" t="str">
        <x:v>Arcane Consequence</x:v>
      </x:c>
      <x:c r="E92" s="31" t="str">
        <x:v>unique_name</x:v>
      </x:c>
      <x:c r="F92" s="62" t="str"/>
      <x:c r="G92" s="62" t="str">
        <x:v>/Lotus/Upgrades/CosmeticEnhancers/Utility/GolemArcaneAimGlideOnHeadshot</x:v>
      </x:c>
      <x:c r="H92" s="62" t="str">
        <x:v>reason=MISSING_OR_DIFFERENT_STABLE_ID</x:v>
      </x:c>
      <x:c r="I92" s="62" t="str">
        <x:v>NOT_REVIEWED</x:v>
      </x:c>
      <x:c r="J92" s="62" t="str"/>
    </x:row>
    <x:row r="93">
      <x:c r="A93" s="31" t="str">
        <x:v>ARC-0037</x:v>
      </x:c>
      <x:c r="B93" s="31" t="str">
        <x:v>P2</x:v>
      </x:c>
      <x:c r="C93" s="31" t="str">
        <x:v>Arcane Consequence</x:v>
      </x:c>
      <x:c r="D93" s="31" t="str">
        <x:v>Arcane Consequence</x:v>
      </x:c>
      <x:c r="E93" s="31" t="str">
        <x:v>equipment_type</x:v>
      </x:c>
      <x:c r="F93" s="62" t="str"/>
      <x:c r="G93" s="62" t="str">
        <x:v>Warframe Arcane</x:v>
      </x:c>
      <x:c r="H93" s="62" t="str">
        <x:v>legacy_subcategory=Eidolon; reason=EQUIPMENT_COMPATIBILITY_IS_SEPARATE_FROM_LEGACY_SUBCATEGORY</x:v>
      </x:c>
      <x:c r="I93" s="62" t="str">
        <x:v>NOT_REVIEWED</x:v>
      </x:c>
      <x:c r="J93" s="62" t="str"/>
    </x:row>
    <x:row r="94">
      <x:c r="A94" s="31" t="str">
        <x:v>ARC-0037</x:v>
      </x:c>
      <x:c r="B94" s="31" t="str">
        <x:v>P2</x:v>
      </x:c>
      <x:c r="C94" s="31" t="str">
        <x:v>Arcane Consequence</x:v>
      </x:c>
      <x:c r="D94" s="31" t="str">
        <x:v>Arcane Consequence</x:v>
      </x:c>
      <x:c r="E94" s="31" t="str">
        <x:v>introduced_update</x:v>
      </x:c>
      <x:c r="F94" s="62" t="str">
        <x:v>22.14</x:v>
      </x:c>
      <x:c r="G94" s="62" t="str">
        <x:v>Update 17.9.1</x:v>
      </x:c>
      <x:c r="H94" s="62" t="str"/>
      <x:c r="I94" s="62" t="str">
        <x:v>NOT_REVIEWED</x:v>
      </x:c>
      <x:c r="J94" s="62" t="str"/>
    </x:row>
    <x:row r="95">
      <x:c r="A95" s="31" t="str">
        <x:v>ARC-0037</x:v>
      </x:c>
      <x:c r="B95" s="31" t="str">
        <x:v>P2</x:v>
      </x:c>
      <x:c r="C95" s="31" t="str">
        <x:v>Arcane Consequence</x:v>
      </x:c>
      <x:c r="D95" s="31" t="str">
        <x:v>Arcane Consequence</x:v>
      </x:c>
      <x:c r="E95" s="31" t="str">
        <x:v>effect_text</x:v>
      </x:c>
      <x:c r="F95" s="62" t="str">
        <x:v>+60% Parkour Velocity for 6s</x:v>
      </x:c>
      <x:c r="G95" s="62" t="str">
        <x:v>On Headshot:\n+60% Parkour Velocity for 18s\n+1 Arcane Revive
+1 Arcane Revive</x:v>
      </x:c>
      <x:c r="H95" s="62" t="str">
        <x:v>comparison=HEURISTIC_TEXT_ONLY</x:v>
      </x:c>
      <x:c r="I95" s="62" t="str">
        <x:v>NOT_REVIEWED</x:v>
      </x:c>
      <x:c r="J95" s="62" t="str"/>
    </x:row>
    <x:row r="96">
      <x:c r="A96" s="31" t="str">
        <x:v>ARC-0038</x:v>
      </x:c>
      <x:c r="B96" s="31" t="str">
        <x:v>P2</x:v>
      </x:c>
      <x:c r="C96" s="31" t="str">
        <x:v>Arcane Crepuscular</x:v>
      </x:c>
      <x:c r="D96" s="31" t="str">
        <x:v>Arcane Crepuscular</x:v>
      </x:c>
      <x:c r="E96" s="31" t="str">
        <x:v>unique_name</x:v>
      </x:c>
      <x:c r="F96" s="62" t="str"/>
      <x:c r="G96" s="62" t="str">
        <x:v>/Lotus/Upgrades/CosmeticEnhancers/Utility/AbilityStrengthAndCritDamageWhenInvisible</x:v>
      </x:c>
      <x:c r="H96" s="62" t="str">
        <x:v>reason=MISSING_OR_DIFFERENT_STABLE_ID</x:v>
      </x:c>
      <x:c r="I96" s="62" t="str">
        <x:v>NOT_REVIEWED</x:v>
      </x:c>
      <x:c r="J96" s="62" t="str"/>
    </x:row>
    <x:row r="97">
      <x:c r="A97" s="31" t="str">
        <x:v>ARC-0038</x:v>
      </x:c>
      <x:c r="B97" s="31" t="str">
        <x:v>P2</x:v>
      </x:c>
      <x:c r="C97" s="31" t="str">
        <x:v>Arcane Crepuscular</x:v>
      </x:c>
      <x:c r="D97" s="31" t="str">
        <x:v>Arcane Crepuscular</x:v>
      </x:c>
      <x:c r="E97" s="31" t="str">
        <x:v>equipment_type</x:v>
      </x:c>
      <x:c r="F97" s="62" t="str"/>
      <x:c r="G97" s="62" t="str">
        <x:v>Warframe Arcane</x:v>
      </x:c>
      <x:c r="H97" s="62" t="str">
        <x:v>legacy_subcategory=Netracell; reason=EQUIPMENT_COMPATIBILITY_IS_SEPARATE_FROM_LEGACY_SUBCATEGORY</x:v>
      </x:c>
      <x:c r="I97" s="62" t="str">
        <x:v>NOT_REVIEWED</x:v>
      </x:c>
      <x:c r="J97" s="62" t="str"/>
    </x:row>
    <x:row r="98">
      <x:c r="A98" s="31" t="str">
        <x:v>ARC-0038</x:v>
      </x:c>
      <x:c r="B98" s="31" t="str">
        <x:v>P2</x:v>
      </x:c>
      <x:c r="C98" s="31" t="str">
        <x:v>Arcane Crepuscular</x:v>
      </x:c>
      <x:c r="D98" s="31" t="str">
        <x:v>Arcane Crepuscular</x:v>
      </x:c>
      <x:c r="E98" s="31" t="str">
        <x:v>introduced_update</x:v>
      </x:c>
      <x:c r="F98" s="62" t="str">
        <x:v>35.0</x:v>
      </x:c>
      <x:c r="G98" s="62" t="str">
        <x:v>Update 38.0</x:v>
      </x:c>
      <x:c r="H98" s="62" t="str"/>
      <x:c r="I98" s="62" t="str">
        <x:v>NOT_REVIEWED</x:v>
      </x:c>
      <x:c r="J98" s="62" t="str"/>
    </x:row>
    <x:row r="99">
      <x:c r="A99" s="31" t="str">
        <x:v>ARC-0038</x:v>
      </x:c>
      <x:c r="B99" s="31" t="str">
        <x:v>P2</x:v>
      </x:c>
      <x:c r="C99" s="31" t="str">
        <x:v>Arcane Crepuscular</x:v>
      </x:c>
      <x:c r="D99" s="31" t="str">
        <x:v>Arcane Crepuscular</x:v>
      </x:c>
      <x:c r="E99" s="31" t="str">
        <x:v>effect_text</x:v>
      </x:c>
      <x:c r="F99" s="62" t="str">
        <x:v>+30% Ability Damage per Ability kill; max +150% for 30s</x:v>
      </x:c>
      <x:c r="G99" s="62" t="str">
        <x:v>While invisible, gain +30% Ability Strength and +3x Final Critical Damage.\n+1 Arcane Revive
+1 Arcane Revive</x:v>
      </x:c>
      <x:c r="H99" s="62" t="str">
        <x:v>comparison=HEURISTIC_TEXT_ONLY</x:v>
      </x:c>
      <x:c r="I99" s="62" t="str">
        <x:v>NOT_REVIEWED</x:v>
      </x:c>
      <x:c r="J99" s="62" t="str"/>
    </x:row>
    <x:row r="100">
      <x:c r="A100" s="31" t="str">
        <x:v>ARC-0039</x:v>
      </x:c>
      <x:c r="B100" s="31" t="str">
        <x:v>P2</x:v>
      </x:c>
      <x:c r="C100" s="31" t="str">
        <x:v>Arcane Deflection</x:v>
      </x:c>
      <x:c r="D100" s="31" t="str">
        <x:v>Arcane Deflection</x:v>
      </x:c>
      <x:c r="E100" s="31" t="str">
        <x:v>unique_name</x:v>
      </x:c>
      <x:c r="F100" s="62" t="str"/>
      <x:c r="G100" s="62" t="str">
        <x:v>/Lotus/Upgrades/CosmeticEnhancers/Defensive/SlashProcResist</x:v>
      </x:c>
      <x:c r="H100" s="62" t="str">
        <x:v>reason=MISSING_OR_DIFFERENT_STABLE_ID</x:v>
      </x:c>
      <x:c r="I100" s="62" t="str">
        <x:v>NOT_REVIEWED</x:v>
      </x:c>
      <x:c r="J100" s="62" t="str"/>
    </x:row>
    <x:row r="101">
      <x:c r="A101" s="31" t="str">
        <x:v>ARC-0039</x:v>
      </x:c>
      <x:c r="B101" s="31" t="str">
        <x:v>P2</x:v>
      </x:c>
      <x:c r="C101" s="31" t="str">
        <x:v>Arcane Deflection</x:v>
      </x:c>
      <x:c r="D101" s="31" t="str">
        <x:v>Arcane Deflection</x:v>
      </x:c>
      <x:c r="E101" s="31" t="str">
        <x:v>equipment_type</x:v>
      </x:c>
      <x:c r="F101" s="62" t="str"/>
      <x:c r="G101" s="62" t="str">
        <x:v>Warframe Arcane</x:v>
      </x:c>
      <x:c r="H101" s="62" t="str">
        <x:v>legacy_subcategory=Eidolon; reason=EQUIPMENT_COMPATIBILITY_IS_SEPARATE_FROM_LEGACY_SUBCATEGORY</x:v>
      </x:c>
      <x:c r="I101" s="62" t="str">
        <x:v>NOT_REVIEWED</x:v>
      </x:c>
      <x:c r="J101" s="62" t="str"/>
    </x:row>
    <x:row r="102">
      <x:c r="A102" s="31" t="str">
        <x:v>ARC-0039</x:v>
      </x:c>
      <x:c r="B102" s="31" t="str">
        <x:v>P2</x:v>
      </x:c>
      <x:c r="C102" s="31" t="str">
        <x:v>Arcane Deflection</x:v>
      </x:c>
      <x:c r="D102" s="31" t="str">
        <x:v>Arcane Deflection</x:v>
      </x:c>
      <x:c r="E102" s="31" t="str">
        <x:v>introduced_update</x:v>
      </x:c>
      <x:c r="F102" s="62" t="str">
        <x:v>22.14</x:v>
      </x:c>
      <x:c r="G102" s="62" t="str">
        <x:v>Update 16.0</x:v>
      </x:c>
      <x:c r="H102" s="62" t="str"/>
      <x:c r="I102" s="62" t="str">
        <x:v>NOT_REVIEWED</x:v>
      </x:c>
      <x:c r="J102" s="62" t="str"/>
    </x:row>
    <x:row r="103">
      <x:c r="A103" s="31" t="str">
        <x:v>ARC-0039</x:v>
      </x:c>
      <x:c r="B103" s="31" t="str">
        <x:v>P2</x:v>
      </x:c>
      <x:c r="C103" s="31" t="str">
        <x:v>Arcane Deflection</x:v>
      </x:c>
      <x:c r="D103" s="31" t="str">
        <x:v>Arcane Deflection</x:v>
      </x:c>
      <x:c r="E103" s="31" t="str">
        <x:v>effect_text</x:v>
      </x:c>
      <x:c r="F103" s="62" t="str">
        <x:v>+60% chance to negate a Slash Status on Shields</x:v>
      </x:c>
      <x:c r="G103" s="62" t="str">
        <x:v>+102% chance to resist a &lt;DT_SLASH_COLOR&gt;Slash Status effect.
+1 Arcane Revive</x:v>
      </x:c>
      <x:c r="H103" s="62" t="str">
        <x:v>comparison=HEURISTIC_TEXT_ONLY</x:v>
      </x:c>
      <x:c r="I103" s="62" t="str">
        <x:v>NOT_REVIEWED</x:v>
      </x:c>
      <x:c r="J103" s="62" t="str"/>
    </x:row>
    <x:row r="104">
      <x:c r="A104" s="31" t="str">
        <x:v>ARC-0040</x:v>
      </x:c>
      <x:c r="B104" s="31" t="str">
        <x:v>P2</x:v>
      </x:c>
      <x:c r="C104" s="31" t="str">
        <x:v>Arcane Double Back</x:v>
      </x:c>
      <x:c r="D104" s="31" t="str">
        <x:v>Arcane Double Back</x:v>
      </x:c>
      <x:c r="E104" s="31" t="str">
        <x:v>unique_name</x:v>
      </x:c>
      <x:c r="F104" s="62" t="str"/>
      <x:c r="G104" s="62" t="str">
        <x:v>/Lotus/Upgrades/CosmeticEnhancers/Defensive/DamageResistanceStacksOverTime</x:v>
      </x:c>
      <x:c r="H104" s="62" t="str">
        <x:v>reason=MISSING_OR_DIFFERENT_STABLE_ID</x:v>
      </x:c>
      <x:c r="I104" s="62" t="str">
        <x:v>NOT_REVIEWED</x:v>
      </x:c>
      <x:c r="J104" s="62" t="str"/>
    </x:row>
    <x:row r="105">
      <x:c r="A105" s="31" t="str">
        <x:v>ARC-0040</x:v>
      </x:c>
      <x:c r="B105" s="31" t="str">
        <x:v>P2</x:v>
      </x:c>
      <x:c r="C105" s="31" t="str">
        <x:v>Arcane Double Back</x:v>
      </x:c>
      <x:c r="D105" s="31" t="str">
        <x:v>Arcane Double Back</x:v>
      </x:c>
      <x:c r="E105" s="31" t="str">
        <x:v>equipment_type</x:v>
      </x:c>
      <x:c r="F105" s="62" t="str"/>
      <x:c r="G105" s="62" t="str">
        <x:v>Warframe Arcane</x:v>
      </x:c>
      <x:c r="H105" s="62" t="str">
        <x:v>legacy_subcategory=Netracell; reason=EQUIPMENT_COMPATIBILITY_IS_SEPARATE_FROM_LEGACY_SUBCATEGORY</x:v>
      </x:c>
      <x:c r="I105" s="62" t="str">
        <x:v>NOT_REVIEWED</x:v>
      </x:c>
      <x:c r="J105" s="62" t="str"/>
    </x:row>
    <x:row r="106">
      <x:c r="A106" s="31" t="str">
        <x:v>ARC-0040</x:v>
      </x:c>
      <x:c r="B106" s="31" t="str">
        <x:v>P2</x:v>
      </x:c>
      <x:c r="C106" s="31" t="str">
        <x:v>Arcane Double Back</x:v>
      </x:c>
      <x:c r="D106" s="31" t="str">
        <x:v>Arcane Double Back</x:v>
      </x:c>
      <x:c r="E106" s="31" t="str">
        <x:v>introduced_update</x:v>
      </x:c>
      <x:c r="F106" s="62" t="str">
        <x:v>35.0</x:v>
      </x:c>
      <x:c r="G106" s="62" t="str">
        <x:v>Update 32.3</x:v>
      </x:c>
      <x:c r="H106" s="62" t="str"/>
      <x:c r="I106" s="62" t="str">
        <x:v>NOT_REVIEWED</x:v>
      </x:c>
      <x:c r="J106" s="62" t="str"/>
    </x:row>
    <x:row r="107">
      <x:c r="A107" s="31" t="str">
        <x:v>ARC-0040</x:v>
      </x:c>
      <x:c r="B107" s="31" t="str">
        <x:v>P2</x:v>
      </x:c>
      <x:c r="C107" s="31" t="str">
        <x:v>Arcane Double Back</x:v>
      </x:c>
      <x:c r="D107" s="31" t="str">
        <x:v>Arcane Double Back</x:v>
      </x:c>
      <x:c r="E107" s="31" t="str">
        <x:v>effect_text</x:v>
      </x:c>
      <x:c r="F107" s="62" t="str">
        <x:v>60% chance to negate a Knockdown per roll</x:v>
      </x:c>
      <x:c r="G107" s="62" t="str">
        <x:v>Gain +25% damage resistance for 4s per Dodge, Double Jump and Bullet Jump. Stacks up to 3x.
+1 Arcane Revive</x:v>
      </x:c>
      <x:c r="H107" s="62" t="str">
        <x:v>comparison=HEURISTIC_TEXT_ONLY</x:v>
      </x:c>
      <x:c r="I107" s="62" t="str">
        <x:v>NOT_REVIEWED</x:v>
      </x:c>
      <x:c r="J107" s="62" t="str"/>
    </x:row>
    <x:row r="108">
      <x:c r="A108" s="31" t="str">
        <x:v>ARC-0041</x:v>
      </x:c>
      <x:c r="B108" s="31" t="str">
        <x:v>P2</x:v>
      </x:c>
      <x:c r="C108" s="31" t="str">
        <x:v>Arcane Energize</x:v>
      </x:c>
      <x:c r="D108" s="31" t="str">
        <x:v>Arcane Energize</x:v>
      </x:c>
      <x:c r="E108" s="31" t="str">
        <x:v>unique_name</x:v>
      </x:c>
      <x:c r="F108" s="62" t="str"/>
      <x:c r="G108" s="62" t="str">
        <x:v>/Lotus/Upgrades/CosmeticEnhancers/Utility/GolemArcaneRadialEnergyOnEnergyPickup</x:v>
      </x:c>
      <x:c r="H108" s="62" t="str">
        <x:v>reason=MISSING_OR_DIFFERENT_STABLE_ID</x:v>
      </x:c>
      <x:c r="I108" s="62" t="str">
        <x:v>NOT_REVIEWED</x:v>
      </x:c>
      <x:c r="J108" s="62" t="str"/>
    </x:row>
    <x:row r="109">
      <x:c r="A109" s="31" t="str">
        <x:v>ARC-0041</x:v>
      </x:c>
      <x:c r="B109" s="31" t="str">
        <x:v>P2</x:v>
      </x:c>
      <x:c r="C109" s="31" t="str">
        <x:v>Arcane Energize</x:v>
      </x:c>
      <x:c r="D109" s="31" t="str">
        <x:v>Arcane Energize</x:v>
      </x:c>
      <x:c r="E109" s="31" t="str">
        <x:v>equipment_type</x:v>
      </x:c>
      <x:c r="F109" s="62" t="str"/>
      <x:c r="G109" s="62" t="str">
        <x:v>Warframe Arcane</x:v>
      </x:c>
      <x:c r="H109" s="62" t="str">
        <x:v>legacy_subcategory=Eidolon; reason=EQUIPMENT_COMPATIBILITY_IS_SEPARATE_FROM_LEGACY_SUBCATEGORY</x:v>
      </x:c>
      <x:c r="I109" s="62" t="str">
        <x:v>NOT_REVIEWED</x:v>
      </x:c>
      <x:c r="J109" s="62" t="str"/>
    </x:row>
    <x:row r="110">
      <x:c r="A110" s="31" t="str">
        <x:v>ARC-0041</x:v>
      </x:c>
      <x:c r="B110" s="31" t="str">
        <x:v>P2</x:v>
      </x:c>
      <x:c r="C110" s="31" t="str">
        <x:v>Arcane Energize</x:v>
      </x:c>
      <x:c r="D110" s="31" t="str">
        <x:v>Arcane Energize</x:v>
      </x:c>
      <x:c r="E110" s="31" t="str">
        <x:v>introduced_update</x:v>
      </x:c>
      <x:c r="F110" s="62" t="str">
        <x:v>22.14</x:v>
      </x:c>
      <x:c r="G110" s="62" t="str">
        <x:v>Update 17.9.1</x:v>
      </x:c>
      <x:c r="H110" s="62" t="str"/>
      <x:c r="I110" s="62" t="str">
        <x:v>NOT_REVIEWED</x:v>
      </x:c>
      <x:c r="J110" s="62" t="str"/>
    </x:row>
    <x:row r="111">
      <x:c r="A111" s="31" t="str">
        <x:v>ARC-0041</x:v>
      </x:c>
      <x:c r="B111" s="31" t="str">
        <x:v>P2</x:v>
      </x:c>
      <x:c r="C111" s="31" t="str">
        <x:v>Arcane Energize</x:v>
      </x:c>
      <x:c r="D111" s="31" t="str">
        <x:v>Arcane Energize</x:v>
      </x:c>
      <x:c r="E111" s="31" t="str">
        <x:v>effect_text</x:v>
      </x:c>
      <x:c r="F111" s="62" t="str">
        <x:v>60% chance: +150 Energy to self &amp; allies in range</x:v>
      </x:c>
      <x:c r="G111" s="62" t="str">
        <x:v>On Energy Pickup:\n60% chance to replenish 150 Energy to self and allies within 15m\n15s cooldown\n+1 Arcane Revive
+1 Arcane Revive</x:v>
      </x:c>
      <x:c r="H111" s="62" t="str">
        <x:v>comparison=HEURISTIC_TEXT_ONLY</x:v>
      </x:c>
      <x:c r="I111" s="62" t="str">
        <x:v>NOT_REVIEWED</x:v>
      </x:c>
      <x:c r="J111" s="62" t="str"/>
    </x:row>
    <x:row r="112">
      <x:c r="A112" s="31" t="str">
        <x:v>ARC-0042</x:v>
      </x:c>
      <x:c r="B112" s="31" t="str">
        <x:v>P2</x:v>
      </x:c>
      <x:c r="C112" s="31" t="str">
        <x:v>Arcane Eruption</x:v>
      </x:c>
      <x:c r="D112" s="31" t="str">
        <x:v>Arcane Eruption</x:v>
      </x:c>
      <x:c r="E112" s="31" t="str">
        <x:v>unique_name</x:v>
      </x:c>
      <x:c r="F112" s="62" t="str"/>
      <x:c r="G112" s="62" t="str">
        <x:v>/Lotus/Upgrades/CosmeticEnhancers/Utility/RadialKnockdownOnEnergyPickup</x:v>
      </x:c>
      <x:c r="H112" s="62" t="str">
        <x:v>reason=MISSING_OR_DIFFERENT_STABLE_ID</x:v>
      </x:c>
      <x:c r="I112" s="62" t="str">
        <x:v>NOT_REVIEWED</x:v>
      </x:c>
      <x:c r="J112" s="62" t="str"/>
    </x:row>
    <x:row r="113">
      <x:c r="A113" s="31" t="str">
        <x:v>ARC-0042</x:v>
      </x:c>
      <x:c r="B113" s="31" t="str">
        <x:v>P2</x:v>
      </x:c>
      <x:c r="C113" s="31" t="str">
        <x:v>Arcane Eruption</x:v>
      </x:c>
      <x:c r="D113" s="31" t="str">
        <x:v>Arcane Eruption</x:v>
      </x:c>
      <x:c r="E113" s="31" t="str">
        <x:v>equipment_type</x:v>
      </x:c>
      <x:c r="F113" s="62" t="str"/>
      <x:c r="G113" s="62" t="str">
        <x:v>Warframe Arcane</x:v>
      </x:c>
      <x:c r="H113" s="62" t="str">
        <x:v>legacy_subcategory=Eidolon; reason=EQUIPMENT_COMPATIBILITY_IS_SEPARATE_FROM_LEGACY_SUBCATEGORY</x:v>
      </x:c>
      <x:c r="I113" s="62" t="str">
        <x:v>NOT_REVIEWED</x:v>
      </x:c>
      <x:c r="J113" s="62" t="str"/>
    </x:row>
    <x:row r="114">
      <x:c r="A114" s="31" t="str">
        <x:v>ARC-0042</x:v>
      </x:c>
      <x:c r="B114" s="31" t="str">
        <x:v>P2</x:v>
      </x:c>
      <x:c r="C114" s="31" t="str">
        <x:v>Arcane Eruption</x:v>
      </x:c>
      <x:c r="D114" s="31" t="str">
        <x:v>Arcane Eruption</x:v>
      </x:c>
      <x:c r="E114" s="31" t="str">
        <x:v>introduced_update</x:v>
      </x:c>
      <x:c r="F114" s="62" t="str">
        <x:v>22.14</x:v>
      </x:c>
      <x:c r="G114" s="62" t="str">
        <x:v>Update 16.0</x:v>
      </x:c>
      <x:c r="H114" s="62" t="str"/>
      <x:c r="I114" s="62" t="str">
        <x:v>NOT_REVIEWED</x:v>
      </x:c>
      <x:c r="J114" s="62" t="str"/>
    </x:row>
    <x:row r="115">
      <x:c r="A115" s="31" t="str">
        <x:v>ARC-0042</x:v>
      </x:c>
      <x:c r="B115" s="31" t="str">
        <x:v>P2</x:v>
      </x:c>
      <x:c r="C115" s="31" t="str">
        <x:v>Arcane Eruption</x:v>
      </x:c>
      <x:c r="D115" s="31" t="str">
        <x:v>Arcane Eruption</x:v>
      </x:c>
      <x:c r="E115" s="31" t="str">
        <x:v>effect_text</x:v>
      </x:c>
      <x:c r="F115" s="62" t="str">
        <x:v>60% chance: Knock down enemies within 15m</x:v>
      </x:c>
      <x:c r="G115" s="62" t="str">
        <x:v>On Energy Pickup:\n100% chance to Knockdown nearby enemies\n+1 Arcane Revive
+1 Arcane Revive</x:v>
      </x:c>
      <x:c r="H115" s="62" t="str">
        <x:v>comparison=HEURISTIC_TEXT_ONLY</x:v>
      </x:c>
      <x:c r="I115" s="62" t="str">
        <x:v>NOT_REVIEWED</x:v>
      </x:c>
      <x:c r="J115" s="62" t="str"/>
    </x:row>
    <x:row r="116">
      <x:c r="A116" s="31" t="str">
        <x:v>ARC-0043</x:v>
      </x:c>
      <x:c r="B116" s="31" t="str">
        <x:v>P2</x:v>
      </x:c>
      <x:c r="C116" s="31" t="str">
        <x:v>Arcane Escapist</x:v>
      </x:c>
      <x:c r="D116" s="31" t="str">
        <x:v>Arcane Escapist</x:v>
      </x:c>
      <x:c r="E116" s="31" t="str">
        <x:v>unique_name</x:v>
      </x:c>
      <x:c r="F116" s="62" t="str"/>
      <x:c r="G116" s="62" t="str">
        <x:v>/Lotus/Upgrades/CosmeticEnhancers/Defensive/InvulnerabilityOnDeathOnMercyKill</x:v>
      </x:c>
      <x:c r="H116" s="62" t="str">
        <x:v>reason=MISSING_OR_DIFFERENT_STABLE_ID</x:v>
      </x:c>
      <x:c r="I116" s="62" t="str">
        <x:v>NOT_REVIEWED</x:v>
      </x:c>
      <x:c r="J116" s="62" t="str"/>
    </x:row>
    <x:row r="117">
      <x:c r="A117" s="31" t="str">
        <x:v>ARC-0043</x:v>
      </x:c>
      <x:c r="B117" s="31" t="str">
        <x:v>P2</x:v>
      </x:c>
      <x:c r="C117" s="31" t="str">
        <x:v>Arcane Escapist</x:v>
      </x:c>
      <x:c r="D117" s="31" t="str">
        <x:v>Arcane Escapist</x:v>
      </x:c>
      <x:c r="E117" s="31" t="str">
        <x:v>equipment_type</x:v>
      </x:c>
      <x:c r="F117" s="62" t="str"/>
      <x:c r="G117" s="62" t="str">
        <x:v>Warframe Arcane</x:v>
      </x:c>
      <x:c r="H117" s="62" t="str">
        <x:v>legacy_subcategory=; reason=EQUIPMENT_COMPATIBILITY_IS_SEPARATE_FROM_LEGACY_SUBCATEGORY</x:v>
      </x:c>
      <x:c r="I117" s="62" t="str">
        <x:v>NOT_REVIEWED</x:v>
      </x:c>
      <x:c r="J117" s="62" t="str"/>
    </x:row>
    <x:row r="118">
      <x:c r="A118" s="31" t="str">
        <x:v>ARC-0043</x:v>
      </x:c>
      <x:c r="B118" s="31" t="str">
        <x:v>P2</x:v>
      </x:c>
      <x:c r="C118" s="31" t="str">
        <x:v>Arcane Escapist</x:v>
      </x:c>
      <x:c r="D118" s="31" t="str">
        <x:v>Arcane Escapist</x:v>
      </x:c>
      <x:c r="E118" s="31" t="str">
        <x:v>introduced_update</x:v>
      </x:c>
      <x:c r="F118" s="62" t="str"/>
      <x:c r="G118" s="62" t="str">
        <x:v>Update 38.5</x:v>
      </x:c>
      <x:c r="H118" s="62" t="str"/>
      <x:c r="I118" s="62" t="str">
        <x:v>NOT_REVIEWED</x:v>
      </x:c>
      <x:c r="J118" s="62" t="str"/>
    </x:row>
    <x:row r="119">
      <x:c r="A119" s="31" t="str">
        <x:v>ARC-0043</x:v>
      </x:c>
      <x:c r="B119" s="31" t="str">
        <x:v>P2</x:v>
      </x:c>
      <x:c r="C119" s="31" t="str">
        <x:v>Arcane Escapist</x:v>
      </x:c>
      <x:c r="D119" s="31" t="str">
        <x:v>Arcane Escapist</x:v>
      </x:c>
      <x:c r="E119" s="31" t="str">
        <x:v>effect_text</x:v>
      </x:c>
      <x:c r="F119" s="62" t="str"/>
      <x:c r="G119" s="62" t="str">
        <x:v>On Mercy Kill: Gain a stack of Escapist, up to 9x. On taking fatal damage, consume 3 stacks to avoid death and become invulnerable for 12s.\n+1 Arcane Revive
+1 Arcane Revive</x:v>
      </x:c>
      <x:c r="H119" s="62" t="str">
        <x:v>comparison=HEURISTIC_TEXT_ONLY</x:v>
      </x:c>
      <x:c r="I119" s="62" t="str">
        <x:v>NOT_REVIEWED</x:v>
      </x:c>
      <x:c r="J119" s="62" t="str"/>
    </x:row>
    <x:row r="120">
      <x:c r="A120" s="31" t="str">
        <x:v>ARC-0044</x:v>
      </x:c>
      <x:c r="B120" s="31" t="str">
        <x:v>P2</x:v>
      </x:c>
      <x:c r="C120" s="31" t="str">
        <x:v>Arcane Expertise</x:v>
      </x:c>
      <x:c r="D120" s="31" t="str">
        <x:v>Arcane Expertise</x:v>
      </x:c>
      <x:c r="E120" s="31" t="str">
        <x:v>unique_name</x:v>
      </x:c>
      <x:c r="F120" s="62" t="str"/>
      <x:c r="G120" s="62" t="str">
        <x:v>/Lotus/Upgrades/CosmeticEnhancers/Defensive/ShieldMaxForAbilityStrength</x:v>
      </x:c>
      <x:c r="H120" s="62" t="str">
        <x:v>reason=MISSING_OR_DIFFERENT_STABLE_ID</x:v>
      </x:c>
      <x:c r="I120" s="62" t="str">
        <x:v>NOT_REVIEWED</x:v>
      </x:c>
      <x:c r="J120" s="62" t="str"/>
    </x:row>
    <x:row r="121">
      <x:c r="A121" s="31" t="str">
        <x:v>ARC-0044</x:v>
      </x:c>
      <x:c r="B121" s="31" t="str">
        <x:v>P2</x:v>
      </x:c>
      <x:c r="C121" s="31" t="str">
        <x:v>Arcane Expertise</x:v>
      </x:c>
      <x:c r="D121" s="31" t="str">
        <x:v>Arcane Expertise</x:v>
      </x:c>
      <x:c r="E121" s="31" t="str">
        <x:v>equipment_type</x:v>
      </x:c>
      <x:c r="F121" s="62" t="str"/>
      <x:c r="G121" s="62" t="str">
        <x:v>Warframe Arcane</x:v>
      </x:c>
      <x:c r="H121" s="62" t="str">
        <x:v>legacy_subcategory=; reason=EQUIPMENT_COMPATIBILITY_IS_SEPARATE_FROM_LEGACY_SUBCATEGORY</x:v>
      </x:c>
      <x:c r="I121" s="62" t="str">
        <x:v>NOT_REVIEWED</x:v>
      </x:c>
      <x:c r="J121" s="62" t="str"/>
    </x:row>
    <x:row r="122">
      <x:c r="A122" s="31" t="str">
        <x:v>ARC-0044</x:v>
      </x:c>
      <x:c r="B122" s="31" t="str">
        <x:v>P2</x:v>
      </x:c>
      <x:c r="C122" s="31" t="str">
        <x:v>Arcane Expertise</x:v>
      </x:c>
      <x:c r="D122" s="31" t="str">
        <x:v>Arcane Expertise</x:v>
      </x:c>
      <x:c r="E122" s="31" t="str">
        <x:v>introduced_update</x:v>
      </x:c>
      <x:c r="F122" s="62" t="str"/>
      <x:c r="G122" s="62" t="str">
        <x:v>Update 41.0</x:v>
      </x:c>
      <x:c r="H122" s="62" t="str"/>
      <x:c r="I122" s="62" t="str">
        <x:v>NOT_REVIEWED</x:v>
      </x:c>
      <x:c r="J122" s="62" t="str"/>
    </x:row>
    <x:row r="123">
      <x:c r="A123" s="31" t="str">
        <x:v>ARC-0044</x:v>
      </x:c>
      <x:c r="B123" s="31" t="str">
        <x:v>P2</x:v>
      </x:c>
      <x:c r="C123" s="31" t="str">
        <x:v>Arcane Expertise</x:v>
      </x:c>
      <x:c r="D123" s="31" t="str">
        <x:v>Arcane Expertise</x:v>
      </x:c>
      <x:c r="E123" s="31" t="str">
        <x:v>effect_text</x:v>
      </x:c>
      <x:c r="F123" s="62" t="str"/>
      <x:c r="G123" s="62" t="str">
        <x:v>100% of Ability Strength modifiers are also applied to Max Shields.\n+1 Arcane Revive
+1 Arcane Revive</x:v>
      </x:c>
      <x:c r="H123" s="62" t="str">
        <x:v>comparison=HEURISTIC_TEXT_ONLY</x:v>
      </x:c>
      <x:c r="I123" s="62" t="str">
        <x:v>NOT_REVIEWED</x:v>
      </x:c>
      <x:c r="J123" s="62" t="str"/>
    </x:row>
    <x:row r="124">
      <x:c r="A124" s="31" t="str">
        <x:v>ARC-0045</x:v>
      </x:c>
      <x:c r="B124" s="31" t="str">
        <x:v>P2</x:v>
      </x:c>
      <x:c r="C124" s="31" t="str">
        <x:v>Arcane Fury</x:v>
      </x:c>
      <x:c r="D124" s="31" t="str">
        <x:v>Arcane Fury</x:v>
      </x:c>
      <x:c r="E124" s="31" t="str">
        <x:v>unique_name</x:v>
      </x:c>
      <x:c r="F124" s="62" t="str"/>
      <x:c r="G124" s="62" t="str">
        <x:v>/Lotus/Upgrades/CosmeticEnhancers/Offensive/GolemArcaneMeleeDamageOnCrit</x:v>
      </x:c>
      <x:c r="H124" s="62" t="str">
        <x:v>reason=MISSING_OR_DIFFERENT_STABLE_ID</x:v>
      </x:c>
      <x:c r="I124" s="62" t="str">
        <x:v>NOT_REVIEWED</x:v>
      </x:c>
      <x:c r="J124" s="62" t="str"/>
    </x:row>
    <x:row r="125">
      <x:c r="A125" s="31" t="str">
        <x:v>ARC-0045</x:v>
      </x:c>
      <x:c r="B125" s="31" t="str">
        <x:v>P2</x:v>
      </x:c>
      <x:c r="C125" s="31" t="str">
        <x:v>Arcane Fury</x:v>
      </x:c>
      <x:c r="D125" s="31" t="str">
        <x:v>Arcane Fury</x:v>
      </x:c>
      <x:c r="E125" s="31" t="str">
        <x:v>equipment_type</x:v>
      </x:c>
      <x:c r="F125" s="62" t="str"/>
      <x:c r="G125" s="62" t="str">
        <x:v>Warframe Arcane</x:v>
      </x:c>
      <x:c r="H125" s="62" t="str">
        <x:v>legacy_subcategory=Eidolon; reason=EQUIPMENT_COMPATIBILITY_IS_SEPARATE_FROM_LEGACY_SUBCATEGORY</x:v>
      </x:c>
      <x:c r="I125" s="62" t="str">
        <x:v>NOT_REVIEWED</x:v>
      </x:c>
      <x:c r="J125" s="62" t="str"/>
    </x:row>
    <x:row r="126">
      <x:c r="A126" s="31" t="str">
        <x:v>ARC-0045</x:v>
      </x:c>
      <x:c r="B126" s="31" t="str">
        <x:v>P2</x:v>
      </x:c>
      <x:c r="C126" s="31" t="str">
        <x:v>Arcane Fury</x:v>
      </x:c>
      <x:c r="D126" s="31" t="str">
        <x:v>Arcane Fury</x:v>
      </x:c>
      <x:c r="E126" s="31" t="str">
        <x:v>introduced_update</x:v>
      </x:c>
      <x:c r="F126" s="62" t="str">
        <x:v>22.14</x:v>
      </x:c>
      <x:c r="G126" s="62" t="str">
        <x:v>Update 17.9.1</x:v>
      </x:c>
      <x:c r="H126" s="62" t="str"/>
      <x:c r="I126" s="62" t="str">
        <x:v>NOT_REVIEWED</x:v>
      </x:c>
      <x:c r="J126" s="62" t="str"/>
    </x:row>
    <x:row r="127">
      <x:c r="A127" s="31" t="str">
        <x:v>ARC-0045</x:v>
      </x:c>
      <x:c r="B127" s="31" t="str">
        <x:v>P2</x:v>
      </x:c>
      <x:c r="C127" s="31" t="str">
        <x:v>Arcane Fury</x:v>
      </x:c>
      <x:c r="D127" s="31" t="str">
        <x:v>Arcane Fury</x:v>
      </x:c>
      <x:c r="E127" s="31" t="str">
        <x:v>effect_text</x:v>
      </x:c>
      <x:c r="F127" s="62" t="str">
        <x:v>+120% Melee Damage for 12s</x:v>
      </x:c>
      <x:c r="G127" s="62" t="str">
        <x:v>On Critical Hit:\n60% chance for +180% Melee Damage to Melee Weapons for 18s\n+1 Arcane Revive
+1 Arcane Revive</x:v>
      </x:c>
      <x:c r="H127" s="62" t="str">
        <x:v>comparison=HEURISTIC_TEXT_ONLY</x:v>
      </x:c>
      <x:c r="I127" s="62" t="str">
        <x:v>NOT_REVIEWED</x:v>
      </x:c>
      <x:c r="J127" s="62" t="str"/>
    </x:row>
    <x:row r="128">
      <x:c r="A128" s="31" t="str">
        <x:v>ARC-0046</x:v>
      </x:c>
      <x:c r="B128" s="31" t="str">
        <x:v>P2</x:v>
      </x:c>
      <x:c r="C128" s="31" t="str">
        <x:v>Arcane Grace</x:v>
      </x:c>
      <x:c r="D128" s="31" t="str">
        <x:v>Arcane Grace</x:v>
      </x:c>
      <x:c r="E128" s="31" t="str">
        <x:v>unique_name</x:v>
      </x:c>
      <x:c r="F128" s="62" t="str"/>
      <x:c r="G128" s="62" t="str">
        <x:v>/Lotus/Upgrades/CosmeticEnhancers/Defensive/HealthRegenOnDamage</x:v>
      </x:c>
      <x:c r="H128" s="62" t="str">
        <x:v>reason=MISSING_OR_DIFFERENT_STABLE_ID</x:v>
      </x:c>
      <x:c r="I128" s="62" t="str">
        <x:v>NOT_REVIEWED</x:v>
      </x:c>
      <x:c r="J128" s="62" t="str"/>
    </x:row>
    <x:row r="129">
      <x:c r="A129" s="31" t="str">
        <x:v>ARC-0046</x:v>
      </x:c>
      <x:c r="B129" s="31" t="str">
        <x:v>P2</x:v>
      </x:c>
      <x:c r="C129" s="31" t="str">
        <x:v>Arcane Grace</x:v>
      </x:c>
      <x:c r="D129" s="31" t="str">
        <x:v>Arcane Grace</x:v>
      </x:c>
      <x:c r="E129" s="31" t="str">
        <x:v>equipment_type</x:v>
      </x:c>
      <x:c r="F129" s="62" t="str"/>
      <x:c r="G129" s="62" t="str">
        <x:v>Warframe Arcane</x:v>
      </x:c>
      <x:c r="H129" s="62" t="str">
        <x:v>legacy_subcategory=Eidolon; reason=EQUIPMENT_COMPATIBILITY_IS_SEPARATE_FROM_LEGACY_SUBCATEGORY</x:v>
      </x:c>
      <x:c r="I129" s="62" t="str">
        <x:v>NOT_REVIEWED</x:v>
      </x:c>
      <x:c r="J129" s="62" t="str"/>
    </x:row>
    <x:row r="130">
      <x:c r="A130" s="31" t="str">
        <x:v>ARC-0046</x:v>
      </x:c>
      <x:c r="B130" s="31" t="str">
        <x:v>P2</x:v>
      </x:c>
      <x:c r="C130" s="31" t="str">
        <x:v>Arcane Grace</x:v>
      </x:c>
      <x:c r="D130" s="31" t="str">
        <x:v>Arcane Grace</x:v>
      </x:c>
      <x:c r="E130" s="31" t="str">
        <x:v>introduced_update</x:v>
      </x:c>
      <x:c r="F130" s="62" t="str">
        <x:v>22.14</x:v>
      </x:c>
      <x:c r="G130" s="62" t="str">
        <x:v>Update 16.0</x:v>
      </x:c>
      <x:c r="H130" s="62" t="str"/>
      <x:c r="I130" s="62" t="str">
        <x:v>NOT_REVIEWED</x:v>
      </x:c>
      <x:c r="J130" s="62" t="str"/>
    </x:row>
    <x:row r="131">
      <x:c r="A131" s="31" t="str">
        <x:v>ARC-0046</x:v>
      </x:c>
      <x:c r="B131" s="31" t="str">
        <x:v>P2</x:v>
      </x:c>
      <x:c r="C131" s="31" t="str">
        <x:v>Arcane Grace</x:v>
      </x:c>
      <x:c r="D131" s="31" t="str">
        <x:v>Arcane Grace</x:v>
      </x:c>
      <x:c r="E131" s="31" t="str">
        <x:v>effect_text</x:v>
      </x:c>
      <x:c r="F131" s="62" t="str">
        <x:v>60% chance: +6% HP regen/s for 9s</x:v>
      </x:c>
      <x:c r="G131" s="62" t="str">
        <x:v>On Health Damaged:\n9% chance for +6% Health Regeneration/s for 9s\n+1 Arcane Revive
+1 Arcane Revive</x:v>
      </x:c>
      <x:c r="H131" s="62" t="str">
        <x:v>comparison=HEURISTIC_TEXT_ONLY</x:v>
      </x:c>
      <x:c r="I131" s="62" t="str">
        <x:v>NOT_REVIEWED</x:v>
      </x:c>
      <x:c r="J131" s="62" t="str"/>
    </x:row>
    <x:row r="132">
      <x:c r="A132" s="31" t="str">
        <x:v>ARC-0047</x:v>
      </x:c>
      <x:c r="B132" s="31" t="str">
        <x:v>P2</x:v>
      </x:c>
      <x:c r="C132" s="31" t="str">
        <x:v>Arcane Guardian</x:v>
      </x:c>
      <x:c r="D132" s="31" t="str">
        <x:v>Arcane Guardian</x:v>
      </x:c>
      <x:c r="E132" s="31" t="str">
        <x:v>unique_name</x:v>
      </x:c>
      <x:c r="F132" s="62" t="str"/>
      <x:c r="G132" s="62" t="str">
        <x:v>/Lotus/Upgrades/CosmeticEnhancers/Defensive/ArmourOnDamage</x:v>
      </x:c>
      <x:c r="H132" s="62" t="str">
        <x:v>reason=MISSING_OR_DIFFERENT_STABLE_ID</x:v>
      </x:c>
      <x:c r="I132" s="62" t="str">
        <x:v>NOT_REVIEWED</x:v>
      </x:c>
      <x:c r="J132" s="62" t="str"/>
    </x:row>
    <x:row r="133">
      <x:c r="A133" s="31" t="str">
        <x:v>ARC-0047</x:v>
      </x:c>
      <x:c r="B133" s="31" t="str">
        <x:v>P2</x:v>
      </x:c>
      <x:c r="C133" s="31" t="str">
        <x:v>Arcane Guardian</x:v>
      </x:c>
      <x:c r="D133" s="31" t="str">
        <x:v>Arcane Guardian</x:v>
      </x:c>
      <x:c r="E133" s="31" t="str">
        <x:v>equipment_type</x:v>
      </x:c>
      <x:c r="F133" s="62" t="str"/>
      <x:c r="G133" s="62" t="str">
        <x:v>Warframe Arcane</x:v>
      </x:c>
      <x:c r="H133" s="62" t="str">
        <x:v>legacy_subcategory=Eidolon; reason=EQUIPMENT_COMPATIBILITY_IS_SEPARATE_FROM_LEGACY_SUBCATEGORY</x:v>
      </x:c>
      <x:c r="I133" s="62" t="str">
        <x:v>NOT_REVIEWED</x:v>
      </x:c>
      <x:c r="J133" s="62" t="str"/>
    </x:row>
    <x:row r="134">
      <x:c r="A134" s="31" t="str">
        <x:v>ARC-0047</x:v>
      </x:c>
      <x:c r="B134" s="31" t="str">
        <x:v>P2</x:v>
      </x:c>
      <x:c r="C134" s="31" t="str">
        <x:v>Arcane Guardian</x:v>
      </x:c>
      <x:c r="D134" s="31" t="str">
        <x:v>Arcane Guardian</x:v>
      </x:c>
      <x:c r="E134" s="31" t="str">
        <x:v>introduced_update</x:v>
      </x:c>
      <x:c r="F134" s="62" t="str">
        <x:v>22.14</x:v>
      </x:c>
      <x:c r="G134" s="62" t="str">
        <x:v>Update 16.0</x:v>
      </x:c>
      <x:c r="H134" s="62" t="str"/>
      <x:c r="I134" s="62" t="str">
        <x:v>NOT_REVIEWED</x:v>
      </x:c>
      <x:c r="J134" s="62" t="str"/>
    </x:row>
    <x:row r="135">
      <x:c r="A135" s="31" t="str">
        <x:v>ARC-0047</x:v>
      </x:c>
      <x:c r="B135" s="31" t="str">
        <x:v>P2</x:v>
      </x:c>
      <x:c r="C135" s="31" t="str">
        <x:v>Arcane Guardian</x:v>
      </x:c>
      <x:c r="D135" s="31" t="str">
        <x:v>Arcane Guardian</x:v>
      </x:c>
      <x:c r="E135" s="31" t="str">
        <x:v>effect_text</x:v>
      </x:c>
      <x:c r="F135" s="62" t="str">
        <x:v>+900 Armor for 20s</x:v>
      </x:c>
      <x:c r="G135" s="62" t="str">
        <x:v>On Damaged:\n15% chance for +900 Armor for 20s\n+1 Arcane Revive
+1 Arcane Revive</x:v>
      </x:c>
      <x:c r="H135" s="62" t="str">
        <x:v>comparison=HEURISTIC_TEXT_ONLY</x:v>
      </x:c>
      <x:c r="I135" s="62" t="str">
        <x:v>NOT_REVIEWED</x:v>
      </x:c>
      <x:c r="J135" s="62" t="str"/>
    </x:row>
    <x:row r="136">
      <x:c r="A136" s="31" t="str">
        <x:v>ARC-0048</x:v>
      </x:c>
      <x:c r="B136" s="31" t="str">
        <x:v>P2</x:v>
      </x:c>
      <x:c r="C136" s="31" t="str">
        <x:v>Arcane Healing</x:v>
      </x:c>
      <x:c r="D136" s="31" t="str">
        <x:v>Arcane Healing</x:v>
      </x:c>
      <x:c r="E136" s="31" t="str">
        <x:v>unique_name</x:v>
      </x:c>
      <x:c r="F136" s="62" t="str"/>
      <x:c r="G136" s="62" t="str">
        <x:v>/Lotus/Upgrades/CosmeticEnhancers/Defensive/RadiationProcResist</x:v>
      </x:c>
      <x:c r="H136" s="62" t="str">
        <x:v>reason=MISSING_OR_DIFFERENT_STABLE_ID</x:v>
      </x:c>
      <x:c r="I136" s="62" t="str">
        <x:v>NOT_REVIEWED</x:v>
      </x:c>
      <x:c r="J136" s="62" t="str"/>
    </x:row>
    <x:row r="137">
      <x:c r="A137" s="31" t="str">
        <x:v>ARC-0048</x:v>
      </x:c>
      <x:c r="B137" s="31" t="str">
        <x:v>P2</x:v>
      </x:c>
      <x:c r="C137" s="31" t="str">
        <x:v>Arcane Healing</x:v>
      </x:c>
      <x:c r="D137" s="31" t="str">
        <x:v>Arcane Healing</x:v>
      </x:c>
      <x:c r="E137" s="31" t="str">
        <x:v>equipment_type</x:v>
      </x:c>
      <x:c r="F137" s="62" t="str"/>
      <x:c r="G137" s="62" t="str">
        <x:v>Warframe Arcane</x:v>
      </x:c>
      <x:c r="H137" s="62" t="str">
        <x:v>legacy_subcategory=Eidolon; reason=EQUIPMENT_COMPATIBILITY_IS_SEPARATE_FROM_LEGACY_SUBCATEGORY</x:v>
      </x:c>
      <x:c r="I137" s="62" t="str">
        <x:v>NOT_REVIEWED</x:v>
      </x:c>
      <x:c r="J137" s="62" t="str"/>
    </x:row>
    <x:row r="138">
      <x:c r="A138" s="31" t="str">
        <x:v>ARC-0048</x:v>
      </x:c>
      <x:c r="B138" s="31" t="str">
        <x:v>P2</x:v>
      </x:c>
      <x:c r="C138" s="31" t="str">
        <x:v>Arcane Healing</x:v>
      </x:c>
      <x:c r="D138" s="31" t="str">
        <x:v>Arcane Healing</x:v>
      </x:c>
      <x:c r="E138" s="31" t="str">
        <x:v>introduced_update</x:v>
      </x:c>
      <x:c r="F138" s="62" t="str">
        <x:v>22.14</x:v>
      </x:c>
      <x:c r="G138" s="62" t="str">
        <x:v>Update 16.0</x:v>
      </x:c>
      <x:c r="H138" s="62" t="str"/>
      <x:c r="I138" s="62" t="str">
        <x:v>NOT_REVIEWED</x:v>
      </x:c>
      <x:c r="J138" s="62" t="str"/>
    </x:row>
    <x:row r="139">
      <x:c r="A139" s="31" t="str">
        <x:v>ARC-0048</x:v>
      </x:c>
      <x:c r="B139" s="31" t="str">
        <x:v>P2</x:v>
      </x:c>
      <x:c r="C139" s="31" t="str">
        <x:v>Arcane Healing</x:v>
      </x:c>
      <x:c r="D139" s="31" t="str">
        <x:v>Arcane Healing</x:v>
      </x:c>
      <x:c r="E139" s="31" t="str">
        <x:v>effect_text</x:v>
      </x:c>
      <x:c r="F139" s="62" t="str">
        <x:v>+60% HP regen from Health Orbs for 10s</x:v>
      </x:c>
      <x:c r="G139" s="62" t="str">
        <x:v>+102% chance to resist a &lt;DT_RADIATION_COLOR&gt;Radiation Status effect.
+1 Arcane Revive</x:v>
      </x:c>
      <x:c r="H139" s="62" t="str">
        <x:v>comparison=HEURISTIC_TEXT_ONLY</x:v>
      </x:c>
      <x:c r="I139" s="62" t="str">
        <x:v>NOT_REVIEWED</x:v>
      </x:c>
      <x:c r="J139" s="62" t="str"/>
    </x:row>
    <x:row r="140">
      <x:c r="A140" s="31" t="str">
        <x:v>ARC-0049</x:v>
      </x:c>
      <x:c r="B140" s="31" t="str">
        <x:v>P2</x:v>
      </x:c>
      <x:c r="C140" s="31" t="str">
        <x:v>Arcane Hotshot</x:v>
      </x:c>
      <x:c r="D140" s="31" t="str">
        <x:v>Arcane Hot Shot</x:v>
      </x:c>
      <x:c r="E140" s="31" t="str">
        <x:v>unique_name</x:v>
      </x:c>
      <x:c r="F140" s="62" t="str"/>
      <x:c r="G140" s="62" t="str">
        <x:v>/Lotus/Upgrades/CosmeticEnhancers/Offensive/AbilityHeatProcsGiveCritChance</x:v>
      </x:c>
      <x:c r="H140" s="62" t="str">
        <x:v>reason=MISSING_OR_DIFFERENT_STABLE_ID</x:v>
      </x:c>
      <x:c r="I140" s="62" t="str">
        <x:v>NOT_REVIEWED</x:v>
      </x:c>
      <x:c r="J140" s="62" t="str"/>
    </x:row>
    <x:row r="141">
      <x:c r="A141" s="31" t="str">
        <x:v>ARC-0049</x:v>
      </x:c>
      <x:c r="B141" s="31" t="str">
        <x:v>P2</x:v>
      </x:c>
      <x:c r="C141" s="31" t="str">
        <x:v>Arcane Hotshot</x:v>
      </x:c>
      <x:c r="D141" s="31" t="str">
        <x:v>Arcane Hot Shot</x:v>
      </x:c>
      <x:c r="E141" s="31" t="str">
        <x:v>name</x:v>
      </x:c>
      <x:c r="F141" s="62" t="str">
        <x:v>Arcane Hotshot</x:v>
      </x:c>
      <x:c r="G141" s="62" t="str">
        <x:v>Arcane Hot Shot</x:v>
      </x:c>
      <x:c r="H141" s="62" t="str"/>
      <x:c r="I141" s="62" t="str">
        <x:v>NOT_REVIEWED</x:v>
      </x:c>
      <x:c r="J141" s="62" t="str"/>
    </x:row>
    <x:row r="142">
      <x:c r="A142" s="31" t="str">
        <x:v>ARC-0049</x:v>
      </x:c>
      <x:c r="B142" s="31" t="str">
        <x:v>P2</x:v>
      </x:c>
      <x:c r="C142" s="31" t="str">
        <x:v>Arcane Hotshot</x:v>
      </x:c>
      <x:c r="D142" s="31" t="str">
        <x:v>Arcane Hot Shot</x:v>
      </x:c>
      <x:c r="E142" s="31" t="str">
        <x:v>equipment_type</x:v>
      </x:c>
      <x:c r="F142" s="62" t="str"/>
      <x:c r="G142" s="62" t="str">
        <x:v>Warframe Arcane</x:v>
      </x:c>
      <x:c r="H142" s="62" t="str">
        <x:v>legacy_subcategory=; reason=EQUIPMENT_COMPATIBILITY_IS_SEPARATE_FROM_LEGACY_SUBCATEGORY</x:v>
      </x:c>
      <x:c r="I142" s="62" t="str">
        <x:v>NOT_REVIEWED</x:v>
      </x:c>
      <x:c r="J142" s="62" t="str"/>
    </x:row>
    <x:row r="143">
      <x:c r="A143" s="31" t="str">
        <x:v>ARC-0049</x:v>
      </x:c>
      <x:c r="B143" s="31" t="str">
        <x:v>P2</x:v>
      </x:c>
      <x:c r="C143" s="31" t="str">
        <x:v>Arcane Hotshot</x:v>
      </x:c>
      <x:c r="D143" s="31" t="str">
        <x:v>Arcane Hot Shot</x:v>
      </x:c>
      <x:c r="E143" s="31" t="str">
        <x:v>introduced_update</x:v>
      </x:c>
      <x:c r="F143" s="62" t="str"/>
      <x:c r="G143" s="62" t="str">
        <x:v>Update 38.5</x:v>
      </x:c>
      <x:c r="H143" s="62" t="str"/>
      <x:c r="I143" s="62" t="str">
        <x:v>NOT_REVIEWED</x:v>
      </x:c>
      <x:c r="J143" s="62" t="str"/>
    </x:row>
    <x:row r="144">
      <x:c r="A144" s="31" t="str">
        <x:v>ARC-0049</x:v>
      </x:c>
      <x:c r="B144" s="31" t="str">
        <x:v>P2</x:v>
      </x:c>
      <x:c r="C144" s="31" t="str">
        <x:v>Arcane Hotshot</x:v>
      </x:c>
      <x:c r="D144" s="31" t="str">
        <x:v>Arcane Hot Shot</x:v>
      </x:c>
      <x:c r="E144" s="31" t="str">
        <x:v>effect_text</x:v>
      </x:c>
      <x:c r="F144" s="62" t="str"/>
      <x:c r="G144" s="62" t="str">
        <x:v>Gain 6% weapon Critical Chance for 10s, when using abilities to inflict &lt;DT_FIRE_COLOR&gt;Heat Status effect on enemies. Maximum 50x stacks.
+1 Arcane Revive</x:v>
      </x:c>
      <x:c r="H144" s="62" t="str">
        <x:v>comparison=HEURISTIC_TEXT_ONLY</x:v>
      </x:c>
      <x:c r="I144" s="62" t="str">
        <x:v>NOT_REVIEWED</x:v>
      </x:c>
      <x:c r="J144" s="62" t="str"/>
    </x:row>
    <x:row r="145">
      <x:c r="A145" s="31" t="str">
        <x:v>ARC-0050</x:v>
      </x:c>
      <x:c r="B145" s="31" t="str">
        <x:v>P2</x:v>
      </x:c>
      <x:c r="C145" s="31" t="str">
        <x:v>Arcane Ice</x:v>
      </x:c>
      <x:c r="D145" s="31" t="str">
        <x:v>Arcane Ice</x:v>
      </x:c>
      <x:c r="E145" s="31" t="str">
        <x:v>unique_name</x:v>
      </x:c>
      <x:c r="F145" s="62" t="str"/>
      <x:c r="G145" s="62" t="str">
        <x:v>/Lotus/Upgrades/CosmeticEnhancers/Defensive/FireProcResist</x:v>
      </x:c>
      <x:c r="H145" s="62" t="str">
        <x:v>reason=MISSING_OR_DIFFERENT_STABLE_ID</x:v>
      </x:c>
      <x:c r="I145" s="62" t="str">
        <x:v>NOT_REVIEWED</x:v>
      </x:c>
      <x:c r="J145" s="62" t="str"/>
    </x:row>
    <x:row r="146">
      <x:c r="A146" s="31" t="str">
        <x:v>ARC-0050</x:v>
      </x:c>
      <x:c r="B146" s="31" t="str">
        <x:v>P2</x:v>
      </x:c>
      <x:c r="C146" s="31" t="str">
        <x:v>Arcane Ice</x:v>
      </x:c>
      <x:c r="D146" s="31" t="str">
        <x:v>Arcane Ice</x:v>
      </x:c>
      <x:c r="E146" s="31" t="str">
        <x:v>equipment_type</x:v>
      </x:c>
      <x:c r="F146" s="62" t="str"/>
      <x:c r="G146" s="62" t="str">
        <x:v>Warframe Arcane</x:v>
      </x:c>
      <x:c r="H146" s="62" t="str">
        <x:v>legacy_subcategory=; reason=EQUIPMENT_COMPATIBILITY_IS_SEPARATE_FROM_LEGACY_SUBCATEGORY</x:v>
      </x:c>
      <x:c r="I146" s="62" t="str">
        <x:v>NOT_REVIEWED</x:v>
      </x:c>
      <x:c r="J146" s="62" t="str"/>
    </x:row>
    <x:row r="147">
      <x:c r="A147" s="31" t="str">
        <x:v>ARC-0050</x:v>
      </x:c>
      <x:c r="B147" s="31" t="str">
        <x:v>P2</x:v>
      </x:c>
      <x:c r="C147" s="31" t="str">
        <x:v>Arcane Ice</x:v>
      </x:c>
      <x:c r="D147" s="31" t="str">
        <x:v>Arcane Ice</x:v>
      </x:c>
      <x:c r="E147" s="31" t="str">
        <x:v>introduced_update</x:v>
      </x:c>
      <x:c r="F147" s="62" t="str"/>
      <x:c r="G147" s="62" t="str">
        <x:v>Update 16.0</x:v>
      </x:c>
      <x:c r="H147" s="62" t="str"/>
      <x:c r="I147" s="62" t="str">
        <x:v>NOT_REVIEWED</x:v>
      </x:c>
      <x:c r="J147" s="62" t="str"/>
    </x:row>
    <x:row r="148">
      <x:c r="A148" s="31" t="str">
        <x:v>ARC-0050</x:v>
      </x:c>
      <x:c r="B148" s="31" t="str">
        <x:v>P2</x:v>
      </x:c>
      <x:c r="C148" s="31" t="str">
        <x:v>Arcane Ice</x:v>
      </x:c>
      <x:c r="D148" s="31" t="str">
        <x:v>Arcane Ice</x:v>
      </x:c>
      <x:c r="E148" s="31" t="str">
        <x:v>tradable</x:v>
      </x:c>
      <x:c r="F148" s="62" t="str">
        <x:v>false</x:v>
      </x:c>
      <x:c r="G148" s="62" t="str">
        <x:v>true</x:v>
      </x:c>
      <x:c r="H148" s="62" t="str"/>
      <x:c r="I148" s="62" t="str">
        <x:v>NOT_REVIEWED</x:v>
      </x:c>
      <x:c r="J148" s="62" t="str"/>
    </x:row>
    <x:row r="149">
      <x:c r="A149" s="31" t="str">
        <x:v>ARC-0050</x:v>
      </x:c>
      <x:c r="B149" s="31" t="str">
        <x:v>P2</x:v>
      </x:c>
      <x:c r="C149" s="31" t="str">
        <x:v>Arcane Ice</x:v>
      </x:c>
      <x:c r="D149" s="31" t="str">
        <x:v>Arcane Ice</x:v>
      </x:c>
      <x:c r="E149" s="31" t="str">
        <x:v>effect_text</x:v>
      </x:c>
      <x:c r="F149" s="62" t="str"/>
      <x:c r="G149" s="62" t="str">
        <x:v>+102% chance to resist a &lt;DT_FIRE_COLOR&gt;Heat Status effect.
+1 Arcane Revive</x:v>
      </x:c>
      <x:c r="H149" s="62" t="str">
        <x:v>comparison=HEURISTIC_TEXT_ONLY</x:v>
      </x:c>
      <x:c r="I149" s="62" t="str">
        <x:v>NOT_REVIEWED</x:v>
      </x:c>
      <x:c r="J149" s="62" t="str"/>
    </x:row>
    <x:row r="150">
      <x:c r="A150" s="31" t="str">
        <x:v>ARC-0051</x:v>
      </x:c>
      <x:c r="B150" s="31" t="str">
        <x:v>P2</x:v>
      </x:c>
      <x:c r="C150" s="31" t="str">
        <x:v>Arcane Impetus</x:v>
      </x:c>
      <x:c r="D150" s="31" t="str">
        <x:v>Arcane Impetus</x:v>
      </x:c>
      <x:c r="E150" s="31" t="str">
        <x:v>unique_name</x:v>
      </x:c>
      <x:c r="F150" s="62" t="str"/>
      <x:c r="G150" s="62" t="str">
        <x:v>/Lotus/Upgrades/CosmeticEnhancers/Utility/AbilityStatusProcsGiveAbilityStrengthAndEfficiency</x:v>
      </x:c>
      <x:c r="H150" s="62" t="str">
        <x:v>reason=MISSING_OR_DIFFERENT_STABLE_ID</x:v>
      </x:c>
      <x:c r="I150" s="62" t="str">
        <x:v>NOT_REVIEWED</x:v>
      </x:c>
      <x:c r="J150" s="62" t="str"/>
    </x:row>
    <x:row r="151">
      <x:c r="A151" s="31" t="str">
        <x:v>ARC-0051</x:v>
      </x:c>
      <x:c r="B151" s="31" t="str">
        <x:v>P2</x:v>
      </x:c>
      <x:c r="C151" s="31" t="str">
        <x:v>Arcane Impetus</x:v>
      </x:c>
      <x:c r="D151" s="31" t="str">
        <x:v>Arcane Impetus</x:v>
      </x:c>
      <x:c r="E151" s="31" t="str">
        <x:v>equipment_type</x:v>
      </x:c>
      <x:c r="F151" s="62" t="str"/>
      <x:c r="G151" s="62" t="str">
        <x:v>Warframe Arcane</x:v>
      </x:c>
      <x:c r="H151" s="62" t="str">
        <x:v>legacy_subcategory=Descendia; reason=EQUIPMENT_COMPATIBILITY_IS_SEPARATE_FROM_LEGACY_SUBCATEGORY</x:v>
      </x:c>
      <x:c r="I151" s="62" t="str">
        <x:v>NOT_REVIEWED</x:v>
      </x:c>
      <x:c r="J151" s="62" t="str"/>
    </x:row>
    <x:row r="152">
      <x:c r="A152" s="31" t="str">
        <x:v>ARC-0051</x:v>
      </x:c>
      <x:c r="B152" s="31" t="str">
        <x:v>P2</x:v>
      </x:c>
      <x:c r="C152" s="31" t="str">
        <x:v>Arcane Impetus</x:v>
      </x:c>
      <x:c r="D152" s="31" t="str">
        <x:v>Arcane Impetus</x:v>
      </x:c>
      <x:c r="E152" s="31" t="str">
        <x:v>introduced_update</x:v>
      </x:c>
      <x:c r="F152" s="62" t="str">
        <x:v>41.0</x:v>
      </x:c>
      <x:c r="G152" s="62" t="str">
        <x:v>Update 38.0</x:v>
      </x:c>
      <x:c r="H152" s="62" t="str"/>
      <x:c r="I152" s="62" t="str">
        <x:v>NOT_REVIEWED</x:v>
      </x:c>
      <x:c r="J152" s="62" t="str"/>
    </x:row>
    <x:row r="153">
      <x:c r="A153" s="31" t="str">
        <x:v>ARC-0051</x:v>
      </x:c>
      <x:c r="B153" s="31" t="str">
        <x:v>P2</x:v>
      </x:c>
      <x:c r="C153" s="31" t="str">
        <x:v>Arcane Impetus</x:v>
      </x:c>
      <x:c r="D153" s="31" t="str">
        <x:v>Arcane Impetus</x:v>
      </x:c>
      <x:c r="E153" s="31" t="str">
        <x:v>effect_text</x:v>
      </x:c>
      <x:c r="F153" s="62" t="str">
        <x:v>+15% Ability Strength per cast for 10s; max +75%</x:v>
      </x:c>
      <x:c r="G153" s="62" t="str">
        <x:v>Unique Status Effects from Abilities grant +6% Ability Strength and +3% Ability Efficiency for 20s.\n+1 Arcane Revive
+1 Arcane Revive</x:v>
      </x:c>
      <x:c r="H153" s="62" t="str">
        <x:v>comparison=HEURISTIC_TEXT_ONLY</x:v>
      </x:c>
      <x:c r="I153" s="62" t="str">
        <x:v>NOT_REVIEWED</x:v>
      </x:c>
      <x:c r="J153" s="62" t="str"/>
    </x:row>
    <x:row r="154">
      <x:c r="A154" s="31" t="str">
        <x:v>ARC-0052</x:v>
      </x:c>
      <x:c r="B154" s="31" t="str">
        <x:v>P2</x:v>
      </x:c>
      <x:c r="C154" s="31" t="str">
        <x:v>Arcane Intention</x:v>
      </x:c>
      <x:c r="D154" s="31" t="str">
        <x:v>Arcane Intention</x:v>
      </x:c>
      <x:c r="E154" s="31" t="str">
        <x:v>unique_name</x:v>
      </x:c>
      <x:c r="F154" s="62" t="str"/>
      <x:c r="G154" s="62" t="str">
        <x:v>/Lotus/Upgrades/CosmeticEnhancers/Utility/HealthWhileUsingChanneledAbilities</x:v>
      </x:c>
      <x:c r="H154" s="62" t="str">
        <x:v>reason=MISSING_OR_DIFFERENT_STABLE_ID</x:v>
      </x:c>
      <x:c r="I154" s="62" t="str">
        <x:v>NOT_REVIEWED</x:v>
      </x:c>
      <x:c r="J154" s="62" t="str"/>
    </x:row>
    <x:row r="155">
      <x:c r="A155" s="31" t="str">
        <x:v>ARC-0052</x:v>
      </x:c>
      <x:c r="B155" s="31" t="str">
        <x:v>P2</x:v>
      </x:c>
      <x:c r="C155" s="31" t="str">
        <x:v>Arcane Intention</x:v>
      </x:c>
      <x:c r="D155" s="31" t="str">
        <x:v>Arcane Intention</x:v>
      </x:c>
      <x:c r="E155" s="31" t="str">
        <x:v>equipment_type</x:v>
      </x:c>
      <x:c r="F155" s="62" t="str"/>
      <x:c r="G155" s="62" t="str">
        <x:v>Warframe Arcane</x:v>
      </x:c>
      <x:c r="H155" s="62" t="str">
        <x:v>legacy_subcategory=Eidolon; reason=EQUIPMENT_COMPATIBILITY_IS_SEPARATE_FROM_LEGACY_SUBCATEGORY</x:v>
      </x:c>
      <x:c r="I155" s="62" t="str">
        <x:v>NOT_REVIEWED</x:v>
      </x:c>
      <x:c r="J155" s="62" t="str"/>
    </x:row>
    <x:row r="156">
      <x:c r="A156" s="31" t="str">
        <x:v>ARC-0052</x:v>
      </x:c>
      <x:c r="B156" s="31" t="str">
        <x:v>P2</x:v>
      </x:c>
      <x:c r="C156" s="31" t="str">
        <x:v>Arcane Intention</x:v>
      </x:c>
      <x:c r="D156" s="31" t="str">
        <x:v>Arcane Intention</x:v>
      </x:c>
      <x:c r="E156" s="31" t="str">
        <x:v>introduced_update</x:v>
      </x:c>
      <x:c r="F156" s="62" t="str">
        <x:v>22.14</x:v>
      </x:c>
      <x:c r="G156" s="62" t="str">
        <x:v>Update 33.0</x:v>
      </x:c>
      <x:c r="H156" s="62" t="str"/>
      <x:c r="I156" s="62" t="str">
        <x:v>NOT_REVIEWED</x:v>
      </x:c>
      <x:c r="J156" s="62" t="str"/>
    </x:row>
    <x:row r="157">
      <x:c r="A157" s="31" t="str">
        <x:v>ARC-0052</x:v>
      </x:c>
      <x:c r="B157" s="31" t="str">
        <x:v>P2</x:v>
      </x:c>
      <x:c r="C157" s="31" t="str">
        <x:v>Arcane Intention</x:v>
      </x:c>
      <x:c r="D157" s="31" t="str">
        <x:v>Arcane Intention</x:v>
      </x:c>
      <x:c r="E157" s="31" t="str">
        <x:v>effect_text</x:v>
      </x:c>
      <x:c r="F157" s="62" t="str">
        <x:v>+60% Crit Chance while aim-gliding</x:v>
      </x:c>
      <x:c r="G157" s="62" t="str">
        <x:v>Gain +250 Max Health per active channeled ability.
+1 Arcane Revive</x:v>
      </x:c>
      <x:c r="H157" s="62" t="str">
        <x:v>comparison=HEURISTIC_TEXT_ONLY</x:v>
      </x:c>
      <x:c r="I157" s="62" t="str">
        <x:v>NOT_REVIEWED</x:v>
      </x:c>
      <x:c r="J157" s="62" t="str"/>
    </x:row>
    <x:row r="158">
      <x:c r="A158" s="31" t="str">
        <x:v>ARC-0053</x:v>
      </x:c>
      <x:c r="B158" s="31" t="str">
        <x:v>P2</x:v>
      </x:c>
      <x:c r="C158" s="31" t="str">
        <x:v>Arcane Momentum</x:v>
      </x:c>
      <x:c r="D158" s="31" t="str">
        <x:v>Arcane Momentum</x:v>
      </x:c>
      <x:c r="E158" s="31" t="str">
        <x:v>unique_name</x:v>
      </x:c>
      <x:c r="F158" s="62" t="str"/>
      <x:c r="G158" s="62" t="str">
        <x:v>/Lotus/Upgrades/CosmeticEnhancers/Offensive/GolemArcaneSniperSpeedOnCrit</x:v>
      </x:c>
      <x:c r="H158" s="62" t="str">
        <x:v>reason=MISSING_OR_DIFFERENT_STABLE_ID</x:v>
      </x:c>
      <x:c r="I158" s="62" t="str">
        <x:v>NOT_REVIEWED</x:v>
      </x:c>
      <x:c r="J158" s="62" t="str"/>
    </x:row>
    <x:row r="159">
      <x:c r="A159" s="31" t="str">
        <x:v>ARC-0053</x:v>
      </x:c>
      <x:c r="B159" s="31" t="str">
        <x:v>P2</x:v>
      </x:c>
      <x:c r="C159" s="31" t="str">
        <x:v>Arcane Momentum</x:v>
      </x:c>
      <x:c r="D159" s="31" t="str">
        <x:v>Arcane Momentum</x:v>
      </x:c>
      <x:c r="E159" s="31" t="str">
        <x:v>equipment_type</x:v>
      </x:c>
      <x:c r="F159" s="62" t="str"/>
      <x:c r="G159" s="62" t="str">
        <x:v>Warframe Arcane</x:v>
      </x:c>
      <x:c r="H159" s="62" t="str">
        <x:v>legacy_subcategory=Eidolon; reason=EQUIPMENT_COMPATIBILITY_IS_SEPARATE_FROM_LEGACY_SUBCATEGORY</x:v>
      </x:c>
      <x:c r="I159" s="62" t="str">
        <x:v>NOT_REVIEWED</x:v>
      </x:c>
      <x:c r="J159" s="62" t="str"/>
    </x:row>
    <x:row r="160">
      <x:c r="A160" s="31" t="str">
        <x:v>ARC-0053</x:v>
      </x:c>
      <x:c r="B160" s="31" t="str">
        <x:v>P2</x:v>
      </x:c>
      <x:c r="C160" s="31" t="str">
        <x:v>Arcane Momentum</x:v>
      </x:c>
      <x:c r="D160" s="31" t="str">
        <x:v>Arcane Momentum</x:v>
      </x:c>
      <x:c r="E160" s="31" t="str">
        <x:v>introduced_update</x:v>
      </x:c>
      <x:c r="F160" s="62" t="str">
        <x:v>22.14</x:v>
      </x:c>
      <x:c r="G160" s="62" t="str">
        <x:v>Update 17.9.1</x:v>
      </x:c>
      <x:c r="H160" s="62" t="str"/>
      <x:c r="I160" s="62" t="str">
        <x:v>NOT_REVIEWED</x:v>
      </x:c>
      <x:c r="J160" s="62" t="str"/>
    </x:row>
    <x:row r="161">
      <x:c r="A161" s="31" t="str">
        <x:v>ARC-0053</x:v>
      </x:c>
      <x:c r="B161" s="31" t="str">
        <x:v>P2</x:v>
      </x:c>
      <x:c r="C161" s="31" t="str">
        <x:v>Arcane Momentum</x:v>
      </x:c>
      <x:c r="D161" s="31" t="str">
        <x:v>Arcane Momentum</x:v>
      </x:c>
      <x:c r="E161" s="31" t="str">
        <x:v>effect_text</x:v>
      </x:c>
      <x:c r="F161" s="62" t="str">
        <x:v>+90% Reload Speed for Sniper Rifles for 12s</x:v>
      </x:c>
      <x:c r="G161" s="62" t="str">
        <x:v>On Critical Hit:\n60% chance for +150% Reload Speed to Sniper Rifles for 12s\n+1 Arcane Revive
+1 Arcane Revive</x:v>
      </x:c>
      <x:c r="H161" s="62" t="str">
        <x:v>comparison=HEURISTIC_TEXT_ONLY</x:v>
      </x:c>
      <x:c r="I161" s="62" t="str">
        <x:v>NOT_REVIEWED</x:v>
      </x:c>
      <x:c r="J161" s="62" t="str"/>
    </x:row>
    <x:row r="162">
      <x:c r="A162" s="31" t="str">
        <x:v>ARC-0054</x:v>
      </x:c>
      <x:c r="B162" s="31" t="str">
        <x:v>P2</x:v>
      </x:c>
      <x:c r="C162" s="31" t="str">
        <x:v>Arcane Nullifier</x:v>
      </x:c>
      <x:c r="D162" s="31" t="str">
        <x:v>Arcane Nullifier</x:v>
      </x:c>
      <x:c r="E162" s="31" t="str">
        <x:v>unique_name</x:v>
      </x:c>
      <x:c r="F162" s="62" t="str"/>
      <x:c r="G162" s="62" t="str">
        <x:v>/Lotus/Upgrades/CosmeticEnhancers/Defensive/MagneticProcResist</x:v>
      </x:c>
      <x:c r="H162" s="62" t="str">
        <x:v>reason=MISSING_OR_DIFFERENT_STABLE_ID</x:v>
      </x:c>
      <x:c r="I162" s="62" t="str">
        <x:v>NOT_REVIEWED</x:v>
      </x:c>
      <x:c r="J162" s="62" t="str"/>
    </x:row>
    <x:row r="163">
      <x:c r="A163" s="31" t="str">
        <x:v>ARC-0054</x:v>
      </x:c>
      <x:c r="B163" s="31" t="str">
        <x:v>P2</x:v>
      </x:c>
      <x:c r="C163" s="31" t="str">
        <x:v>Arcane Nullifier</x:v>
      </x:c>
      <x:c r="D163" s="31" t="str">
        <x:v>Arcane Nullifier</x:v>
      </x:c>
      <x:c r="E163" s="31" t="str">
        <x:v>equipment_type</x:v>
      </x:c>
      <x:c r="F163" s="62" t="str"/>
      <x:c r="G163" s="62" t="str">
        <x:v>Warframe Arcane</x:v>
      </x:c>
      <x:c r="H163" s="62" t="str">
        <x:v>legacy_subcategory=Eidolon; reason=EQUIPMENT_COMPATIBILITY_IS_SEPARATE_FROM_LEGACY_SUBCATEGORY</x:v>
      </x:c>
      <x:c r="I163" s="62" t="str">
        <x:v>NOT_REVIEWED</x:v>
      </x:c>
      <x:c r="J163" s="62" t="str"/>
    </x:row>
    <x:row r="164">
      <x:c r="A164" s="31" t="str">
        <x:v>ARC-0054</x:v>
      </x:c>
      <x:c r="B164" s="31" t="str">
        <x:v>P2</x:v>
      </x:c>
      <x:c r="C164" s="31" t="str">
        <x:v>Arcane Nullifier</x:v>
      </x:c>
      <x:c r="D164" s="31" t="str">
        <x:v>Arcane Nullifier</x:v>
      </x:c>
      <x:c r="E164" s="31" t="str">
        <x:v>introduced_update</x:v>
      </x:c>
      <x:c r="F164" s="62" t="str">
        <x:v>22.14</x:v>
      </x:c>
      <x:c r="G164" s="62" t="str">
        <x:v>Update 16.0</x:v>
      </x:c>
      <x:c r="H164" s="62" t="str"/>
      <x:c r="I164" s="62" t="str">
        <x:v>NOT_REVIEWED</x:v>
      </x:c>
      <x:c r="J164" s="62" t="str"/>
    </x:row>
    <x:row r="165">
      <x:c r="A165" s="31" t="str">
        <x:v>ARC-0054</x:v>
      </x:c>
      <x:c r="B165" s="31" t="str">
        <x:v>P2</x:v>
      </x:c>
      <x:c r="C165" s="31" t="str">
        <x:v>Arcane Nullifier</x:v>
      </x:c>
      <x:c r="D165" s="31" t="str">
        <x:v>Arcane Nullifier</x:v>
      </x:c>
      <x:c r="E165" s="31" t="str">
        <x:v>effect_text</x:v>
      </x:c>
      <x:c r="F165" s="62" t="str">
        <x:v>60% chance to negate a Magnetic Status proc</x:v>
      </x:c>
      <x:c r="G165" s="62" t="str">
        <x:v>+102% chance to resist a &lt;DT_MAGNETIC_COLOR&gt;Magnetic Status effect.
+1 Arcane Revive</x:v>
      </x:c>
      <x:c r="H165" s="62" t="str">
        <x:v>comparison=HEURISTIC_TEXT_ONLY</x:v>
      </x:c>
      <x:c r="I165" s="62" t="str">
        <x:v>NOT_REVIEWED</x:v>
      </x:c>
      <x:c r="J165" s="62" t="str"/>
    </x:row>
    <x:row r="166">
      <x:c r="A166" s="31" t="str">
        <x:v>ARC-0055</x:v>
      </x:c>
      <x:c r="B166" s="31" t="str">
        <x:v>P2</x:v>
      </x:c>
      <x:c r="C166" s="31" t="str">
        <x:v>Arcane Persistence</x:v>
      </x:c>
      <x:c r="D166" s="31" t="str">
        <x:v>Arcane Persistence</x:v>
      </x:c>
      <x:c r="E166" s="31" t="str">
        <x:v>unique_name</x:v>
      </x:c>
      <x:c r="F166" s="62" t="str"/>
      <x:c r="G166" s="62" t="str">
        <x:v>/Lotus/Upgrades/CosmeticEnhancers/Defensive/MaxDPSTakenForArmour</x:v>
      </x:c>
      <x:c r="H166" s="62" t="str">
        <x:v>reason=MISSING_OR_DIFFERENT_STABLE_ID</x:v>
      </x:c>
      <x:c r="I166" s="62" t="str">
        <x:v>NOT_REVIEWED</x:v>
      </x:c>
      <x:c r="J166" s="62" t="str"/>
    </x:row>
    <x:row r="167">
      <x:c r="A167" s="31" t="str">
        <x:v>ARC-0055</x:v>
      </x:c>
      <x:c r="B167" s="31" t="str">
        <x:v>P2</x:v>
      </x:c>
      <x:c r="C167" s="31" t="str">
        <x:v>Arcane Persistence</x:v>
      </x:c>
      <x:c r="D167" s="31" t="str">
        <x:v>Arcane Persistence</x:v>
      </x:c>
      <x:c r="E167" s="31" t="str">
        <x:v>equipment_type</x:v>
      </x:c>
      <x:c r="F167" s="62" t="str"/>
      <x:c r="G167" s="62" t="str">
        <x:v>Warframe Arcane</x:v>
      </x:c>
      <x:c r="H167" s="62" t="str">
        <x:v>legacy_subcategory=Descendia; reason=EQUIPMENT_COMPATIBILITY_IS_SEPARATE_FROM_LEGACY_SUBCATEGORY</x:v>
      </x:c>
      <x:c r="I167" s="62" t="str">
        <x:v>NOT_REVIEWED</x:v>
      </x:c>
      <x:c r="J167" s="62" t="str"/>
    </x:row>
    <x:row r="168">
      <x:c r="A168" s="31" t="str">
        <x:v>ARC-0055</x:v>
      </x:c>
      <x:c r="B168" s="31" t="str">
        <x:v>P2</x:v>
      </x:c>
      <x:c r="C168" s="31" t="str">
        <x:v>Arcane Persistence</x:v>
      </x:c>
      <x:c r="D168" s="31" t="str">
        <x:v>Arcane Persistence</x:v>
      </x:c>
      <x:c r="E168" s="31" t="str">
        <x:v>introduced_update</x:v>
      </x:c>
      <x:c r="F168" s="62" t="str">
        <x:v>41.0</x:v>
      </x:c>
      <x:c r="G168" s="62" t="str">
        <x:v>Update 41.0</x:v>
      </x:c>
      <x:c r="H168" s="62" t="str"/>
      <x:c r="I168" s="62" t="str">
        <x:v>NOT_REVIEWED</x:v>
      </x:c>
      <x:c r="J168" s="62" t="str"/>
    </x:row>
    <x:row r="169">
      <x:c r="A169" s="31" t="str">
        <x:v>ARC-0055</x:v>
      </x:c>
      <x:c r="B169" s="31" t="str">
        <x:v>P2</x:v>
      </x:c>
      <x:c r="C169" s="31" t="str">
        <x:v>Arcane Persistence</x:v>
      </x:c>
      <x:c r="D169" s="31" t="str">
        <x:v>Arcane Persistence</x:v>
      </x:c>
      <x:c r="E169" s="31" t="str">
        <x:v>effect_text</x:v>
      </x:c>
      <x:c r="F169" s="62" t="str">
        <x:v>Remove all Shields. If Armor is above 700: Cannot be hit for more than 500 Damage/s.</x:v>
      </x:c>
      <x:c r="G169" s="62" t="str">
        <x:v>Remove all Shields. If Armor is above 700: Cannot be hit for more than 500 Damage/s. Magnetic Status and Ability Nullifying Effects disable this protection.\n+1 Arcane Revive
+1 Arcane Revive</x:v>
      </x:c>
      <x:c r="H169" s="62" t="str">
        <x:v>comparison=HEURISTIC_TEXT_ONLY</x:v>
      </x:c>
      <x:c r="I169" s="62" t="str">
        <x:v>NOT_REVIEWED</x:v>
      </x:c>
      <x:c r="J169" s="62" t="str"/>
    </x:row>
    <x:row r="170">
      <x:c r="A170" s="31" t="str">
        <x:v>ARC-0056</x:v>
      </x:c>
      <x:c r="B170" s="31" t="str">
        <x:v>P2</x:v>
      </x:c>
      <x:c r="C170" s="31" t="str">
        <x:v>Arcane Phantasm</x:v>
      </x:c>
      <x:c r="D170" s="31" t="str">
        <x:v>Arcane Phantasm</x:v>
      </x:c>
      <x:c r="E170" s="31" t="str">
        <x:v>unique_name</x:v>
      </x:c>
      <x:c r="F170" s="62" t="str"/>
      <x:c r="G170" s="62" t="str">
        <x:v>/Lotus/Upgrades/CosmeticEnhancers/Defensive/SpeedOnParry</x:v>
      </x:c>
      <x:c r="H170" s="62" t="str">
        <x:v>reason=MISSING_OR_DIFFERENT_STABLE_ID</x:v>
      </x:c>
      <x:c r="I170" s="62" t="str">
        <x:v>NOT_REVIEWED</x:v>
      </x:c>
      <x:c r="J170" s="62" t="str"/>
    </x:row>
    <x:row r="171">
      <x:c r="A171" s="31" t="str">
        <x:v>ARC-0056</x:v>
      </x:c>
      <x:c r="B171" s="31" t="str">
        <x:v>P2</x:v>
      </x:c>
      <x:c r="C171" s="31" t="str">
        <x:v>Arcane Phantasm</x:v>
      </x:c>
      <x:c r="D171" s="31" t="str">
        <x:v>Arcane Phantasm</x:v>
      </x:c>
      <x:c r="E171" s="31" t="str">
        <x:v>equipment_type</x:v>
      </x:c>
      <x:c r="F171" s="62" t="str"/>
      <x:c r="G171" s="62" t="str">
        <x:v>Warframe Arcane</x:v>
      </x:c>
      <x:c r="H171" s="62" t="str">
        <x:v>legacy_subcategory=Eidolon; reason=EQUIPMENT_COMPATIBILITY_IS_SEPARATE_FROM_LEGACY_SUBCATEGORY</x:v>
      </x:c>
      <x:c r="I171" s="62" t="str">
        <x:v>NOT_REVIEWED</x:v>
      </x:c>
      <x:c r="J171" s="62" t="str"/>
    </x:row>
    <x:row r="172">
      <x:c r="A172" s="31" t="str">
        <x:v>ARC-0056</x:v>
      </x:c>
      <x:c r="B172" s="31" t="str">
        <x:v>P2</x:v>
      </x:c>
      <x:c r="C172" s="31" t="str">
        <x:v>Arcane Phantasm</x:v>
      </x:c>
      <x:c r="D172" s="31" t="str">
        <x:v>Arcane Phantasm</x:v>
      </x:c>
      <x:c r="E172" s="31" t="str">
        <x:v>introduced_update</x:v>
      </x:c>
      <x:c r="F172" s="62" t="str">
        <x:v>22.14</x:v>
      </x:c>
      <x:c r="G172" s="62" t="str">
        <x:v>Update 16.0</x:v>
      </x:c>
      <x:c r="H172" s="62" t="str"/>
      <x:c r="I172" s="62" t="str">
        <x:v>NOT_REVIEWED</x:v>
      </x:c>
      <x:c r="J172" s="62" t="str"/>
    </x:row>
    <x:row r="173">
      <x:c r="A173" s="31" t="str">
        <x:v>ARC-0056</x:v>
      </x:c>
      <x:c r="B173" s="31" t="str">
        <x:v>P2</x:v>
      </x:c>
      <x:c r="C173" s="31" t="str">
        <x:v>Arcane Phantasm</x:v>
      </x:c>
      <x:c r="D173" s="31" t="str">
        <x:v>Arcane Phantasm</x:v>
      </x:c>
      <x:c r="E173" s="31" t="str">
        <x:v>effect_text</x:v>
      </x:c>
      <x:c r="F173" s="62" t="str">
        <x:v>+60% Sprint Speed for 4s</x:v>
      </x:c>
      <x:c r="G173" s="62" t="str">
        <x:v>On Block:\n45% chance for +60% Speed for 18s\n+1 Arcane Revive
+1 Arcane Revive</x:v>
      </x:c>
      <x:c r="H173" s="62" t="str">
        <x:v>comparison=HEURISTIC_TEXT_ONLY</x:v>
      </x:c>
      <x:c r="I173" s="62" t="str">
        <x:v>NOT_REVIEWED</x:v>
      </x:c>
      <x:c r="J173" s="62" t="str"/>
    </x:row>
    <x:row r="174">
      <x:c r="A174" s="31" t="str">
        <x:v>ARC-0057</x:v>
      </x:c>
      <x:c r="B174" s="31" t="str">
        <x:v>P2</x:v>
      </x:c>
      <x:c r="C174" s="31" t="str">
        <x:v>Arcane Pistoleer</x:v>
      </x:c>
      <x:c r="D174" s="31" t="str">
        <x:v>Arcane Pistoleer</x:v>
      </x:c>
      <x:c r="E174" s="31" t="str">
        <x:v>unique_name</x:v>
      </x:c>
      <x:c r="F174" s="62" t="str"/>
      <x:c r="G174" s="62" t="str">
        <x:v>/Lotus/Upgrades/CosmeticEnhancers/Offensive/AmmoEfficiencyOnPistolHeadshot</x:v>
      </x:c>
      <x:c r="H174" s="62" t="str">
        <x:v>reason=MISSING_OR_DIFFERENT_STABLE_ID</x:v>
      </x:c>
      <x:c r="I174" s="62" t="str">
        <x:v>NOT_REVIEWED</x:v>
      </x:c>
      <x:c r="J174" s="62" t="str"/>
    </x:row>
    <x:row r="175">
      <x:c r="A175" s="31" t="str">
        <x:v>ARC-0057</x:v>
      </x:c>
      <x:c r="B175" s="31" t="str">
        <x:v>P2</x:v>
      </x:c>
      <x:c r="C175" s="31" t="str">
        <x:v>Arcane Pistoleer</x:v>
      </x:c>
      <x:c r="D175" s="31" t="str">
        <x:v>Arcane Pistoleer</x:v>
      </x:c>
      <x:c r="E175" s="31" t="str">
        <x:v>equipment_type</x:v>
      </x:c>
      <x:c r="F175" s="62" t="str"/>
      <x:c r="G175" s="62" t="str">
        <x:v>Warframe Arcane</x:v>
      </x:c>
      <x:c r="H175" s="62" t="str">
        <x:v>legacy_subcategory=Eidolon; reason=EQUIPMENT_COMPATIBILITY_IS_SEPARATE_FROM_LEGACY_SUBCATEGORY</x:v>
      </x:c>
      <x:c r="I175" s="62" t="str">
        <x:v>NOT_REVIEWED</x:v>
      </x:c>
      <x:c r="J175" s="62" t="str"/>
    </x:row>
    <x:row r="176">
      <x:c r="A176" s="31" t="str">
        <x:v>ARC-0057</x:v>
      </x:c>
      <x:c r="B176" s="31" t="str">
        <x:v>P2</x:v>
      </x:c>
      <x:c r="C176" s="31" t="str">
        <x:v>Arcane Pistoleer</x:v>
      </x:c>
      <x:c r="D176" s="31" t="str">
        <x:v>Arcane Pistoleer</x:v>
      </x:c>
      <x:c r="E176" s="31" t="str">
        <x:v>introduced_update</x:v>
      </x:c>
      <x:c r="F176" s="62" t="str">
        <x:v>25.7.6</x:v>
      </x:c>
      <x:c r="G176" s="62" t="str">
        <x:v>Hotfix 25.7.6</x:v>
      </x:c>
      <x:c r="H176" s="62" t="str"/>
      <x:c r="I176" s="62" t="str">
        <x:v>NOT_REVIEWED</x:v>
      </x:c>
      <x:c r="J176" s="62" t="str"/>
    </x:row>
    <x:row r="177">
      <x:c r="A177" s="31" t="str">
        <x:v>ARC-0057</x:v>
      </x:c>
      <x:c r="B177" s="31" t="str">
        <x:v>P2</x:v>
      </x:c>
      <x:c r="C177" s="31" t="str">
        <x:v>Arcane Pistoleer</x:v>
      </x:c>
      <x:c r="D177" s="31" t="str">
        <x:v>Arcane Pistoleer</x:v>
      </x:c>
      <x:c r="E177" s="31" t="str">
        <x:v>effect_text</x:v>
      </x:c>
      <x:c r="F177" s="62" t="str">
        <x:v>Infinite Secondary Ammo for 12s</x:v>
      </x:c>
      <x:c r="G177" s="62" t="str">
        <x:v>On Pistol Headshot Kill:\n60% chance for +102% Ammo Efficiency for 12s\n+1 Arcane Revive
+1 Arcane Revive</x:v>
      </x:c>
      <x:c r="H177" s="62" t="str">
        <x:v>comparison=HEURISTIC_TEXT_ONLY</x:v>
      </x:c>
      <x:c r="I177" s="62" t="str">
        <x:v>NOT_REVIEWED</x:v>
      </x:c>
      <x:c r="J177" s="62" t="str"/>
    </x:row>
    <x:row r="178">
      <x:c r="A178" s="31" t="str">
        <x:v>ARC-0058</x:v>
      </x:c>
      <x:c r="B178" s="31" t="str">
        <x:v>P2</x:v>
      </x:c>
      <x:c r="C178" s="31" t="str">
        <x:v>Arcane Power Ramp</x:v>
      </x:c>
      <x:c r="D178" s="31" t="str">
        <x:v>Arcane Power Ramp</x:v>
      </x:c>
      <x:c r="E178" s="31" t="str">
        <x:v>unique_name</x:v>
      </x:c>
      <x:c r="F178" s="62" t="str"/>
      <x:c r="G178" s="62" t="str">
        <x:v>/Lotus/Upgrades/CosmeticEnhancers/Offensive/AbilityStrengthOnCast</x:v>
      </x:c>
      <x:c r="H178" s="62" t="str">
        <x:v>reason=MISSING_OR_DIFFERENT_STABLE_ID</x:v>
      </x:c>
      <x:c r="I178" s="62" t="str">
        <x:v>NOT_REVIEWED</x:v>
      </x:c>
      <x:c r="J178" s="62" t="str"/>
    </x:row>
    <x:row r="179">
      <x:c r="A179" s="31" t="str">
        <x:v>ARC-0058</x:v>
      </x:c>
      <x:c r="B179" s="31" t="str">
        <x:v>P2</x:v>
      </x:c>
      <x:c r="C179" s="31" t="str">
        <x:v>Arcane Power Ramp</x:v>
      </x:c>
      <x:c r="D179" s="31" t="str">
        <x:v>Arcane Power Ramp</x:v>
      </x:c>
      <x:c r="E179" s="31" t="str">
        <x:v>equipment_type</x:v>
      </x:c>
      <x:c r="F179" s="62" t="str"/>
      <x:c r="G179" s="62" t="str">
        <x:v>Warframe Arcane</x:v>
      </x:c>
      <x:c r="H179" s="62" t="str">
        <x:v>legacy_subcategory=; reason=EQUIPMENT_COMPATIBILITY_IS_SEPARATE_FROM_LEGACY_SUBCATEGORY</x:v>
      </x:c>
      <x:c r="I179" s="62" t="str">
        <x:v>NOT_REVIEWED</x:v>
      </x:c>
      <x:c r="J179" s="62" t="str"/>
    </x:row>
    <x:row r="180">
      <x:c r="A180" s="31" t="str">
        <x:v>ARC-0058</x:v>
      </x:c>
      <x:c r="B180" s="31" t="str">
        <x:v>P2</x:v>
      </x:c>
      <x:c r="C180" s="31" t="str">
        <x:v>Arcane Power Ramp</x:v>
      </x:c>
      <x:c r="D180" s="31" t="str">
        <x:v>Arcane Power Ramp</x:v>
      </x:c>
      <x:c r="E180" s="31" t="str">
        <x:v>introduced_update</x:v>
      </x:c>
      <x:c r="F180" s="62" t="str"/>
      <x:c r="G180" s="62" t="str">
        <x:v>Update 33.5</x:v>
      </x:c>
      <x:c r="H180" s="62" t="str"/>
      <x:c r="I180" s="62" t="str">
        <x:v>NOT_REVIEWED</x:v>
      </x:c>
      <x:c r="J180" s="62" t="str"/>
    </x:row>
    <x:row r="181">
      <x:c r="A181" s="31" t="str">
        <x:v>ARC-0058</x:v>
      </x:c>
      <x:c r="B181" s="31" t="str">
        <x:v>P2</x:v>
      </x:c>
      <x:c r="C181" s="31" t="str">
        <x:v>Arcane Power Ramp</x:v>
      </x:c>
      <x:c r="D181" s="31" t="str">
        <x:v>Arcane Power Ramp</x:v>
      </x:c>
      <x:c r="E181" s="31" t="str">
        <x:v>effect_text</x:v>
      </x:c>
      <x:c r="F181" s="62" t="str"/>
      <x:c r="G181" s="62" t="str">
        <x:v>On Ability Cast: Next Ability cast gains +9% Ability Strength, stacking up to 4x. Resets when the same ability is recast consecutively.
+1 Arcane Revive</x:v>
      </x:c>
      <x:c r="H181" s="62" t="str">
        <x:v>comparison=HEURISTIC_TEXT_ONLY</x:v>
      </x:c>
      <x:c r="I181" s="62" t="str">
        <x:v>NOT_REVIEWED</x:v>
      </x:c>
      <x:c r="J181" s="62" t="str"/>
    </x:row>
    <x:row r="182">
      <x:c r="A182" s="31" t="str">
        <x:v>ARC-0059</x:v>
      </x:c>
      <x:c r="B182" s="31" t="str">
        <x:v>P2</x:v>
      </x:c>
      <x:c r="C182" s="31" t="str">
        <x:v>Arcane Precision</x:v>
      </x:c>
      <x:c r="D182" s="31" t="str">
        <x:v>Arcane Precision</x:v>
      </x:c>
      <x:c r="E182" s="31" t="str">
        <x:v>unique_name</x:v>
      </x:c>
      <x:c r="F182" s="62" t="str"/>
      <x:c r="G182" s="62" t="str">
        <x:v>/Lotus/Upgrades/CosmeticEnhancers/Offensive/GolemArcanePistolDamageOnHeadshot</x:v>
      </x:c>
      <x:c r="H182" s="62" t="str">
        <x:v>reason=MISSING_OR_DIFFERENT_STABLE_ID</x:v>
      </x:c>
      <x:c r="I182" s="62" t="str">
        <x:v>NOT_REVIEWED</x:v>
      </x:c>
      <x:c r="J182" s="62" t="str"/>
    </x:row>
    <x:row r="183">
      <x:c r="A183" s="31" t="str">
        <x:v>ARC-0059</x:v>
      </x:c>
      <x:c r="B183" s="31" t="str">
        <x:v>P2</x:v>
      </x:c>
      <x:c r="C183" s="31" t="str">
        <x:v>Arcane Precision</x:v>
      </x:c>
      <x:c r="D183" s="31" t="str">
        <x:v>Arcane Precision</x:v>
      </x:c>
      <x:c r="E183" s="31" t="str">
        <x:v>equipment_type</x:v>
      </x:c>
      <x:c r="F183" s="62" t="str"/>
      <x:c r="G183" s="62" t="str">
        <x:v>Warframe Arcane</x:v>
      </x:c>
      <x:c r="H183" s="62" t="str">
        <x:v>legacy_subcategory=Eidolon; reason=EQUIPMENT_COMPATIBILITY_IS_SEPARATE_FROM_LEGACY_SUBCATEGORY</x:v>
      </x:c>
      <x:c r="I183" s="62" t="str">
        <x:v>NOT_REVIEWED</x:v>
      </x:c>
      <x:c r="J183" s="62" t="str"/>
    </x:row>
    <x:row r="184">
      <x:c r="A184" s="31" t="str">
        <x:v>ARC-0059</x:v>
      </x:c>
      <x:c r="B184" s="31" t="str">
        <x:v>P2</x:v>
      </x:c>
      <x:c r="C184" s="31" t="str">
        <x:v>Arcane Precision</x:v>
      </x:c>
      <x:c r="D184" s="31" t="str">
        <x:v>Arcane Precision</x:v>
      </x:c>
      <x:c r="E184" s="31" t="str">
        <x:v>introduced_update</x:v>
      </x:c>
      <x:c r="F184" s="62" t="str">
        <x:v>22.14</x:v>
      </x:c>
      <x:c r="G184" s="62" t="str">
        <x:v>Update 17.9.1</x:v>
      </x:c>
      <x:c r="H184" s="62" t="str"/>
      <x:c r="I184" s="62" t="str">
        <x:v>NOT_REVIEWED</x:v>
      </x:c>
      <x:c r="J184" s="62" t="str"/>
    </x:row>
    <x:row r="185">
      <x:c r="A185" s="31" t="str">
        <x:v>ARC-0059</x:v>
      </x:c>
      <x:c r="B185" s="31" t="str">
        <x:v>P2</x:v>
      </x:c>
      <x:c r="C185" s="31" t="str">
        <x:v>Arcane Precision</x:v>
      </x:c>
      <x:c r="D185" s="31" t="str">
        <x:v>Arcane Precision</x:v>
      </x:c>
      <x:c r="E185" s="31" t="str">
        <x:v>effect_text</x:v>
      </x:c>
      <x:c r="F185" s="62" t="str">
        <x:v>+300% Secondary Damage for 12s</x:v>
      </x:c>
      <x:c r="G185" s="62" t="str">
        <x:v>On Headshot:\n+300% Damage for 18s on Secondary Weapon\n+1 Arcane Revive
+1 Arcane Revive</x:v>
      </x:c>
      <x:c r="H185" s="62" t="str">
        <x:v>comparison=HEURISTIC_TEXT_ONLY</x:v>
      </x:c>
      <x:c r="I185" s="62" t="str">
        <x:v>NOT_REVIEWED</x:v>
      </x:c>
      <x:c r="J185" s="62" t="str"/>
    </x:row>
    <x:row r="186">
      <x:c r="A186" s="31" t="str">
        <x:v>ARC-0060</x:v>
      </x:c>
      <x:c r="B186" s="31" t="str">
        <x:v>P2</x:v>
      </x:c>
      <x:c r="C186" s="31" t="str">
        <x:v>Arcane Primary Charger</x:v>
      </x:c>
      <x:c r="D186" s="31" t="str">
        <x:v>Arcane Primary Charger</x:v>
      </x:c>
      <x:c r="E186" s="31" t="str">
        <x:v>unique_name</x:v>
      </x:c>
      <x:c r="F186" s="62" t="str"/>
      <x:c r="G186" s="62" t="str">
        <x:v>/Lotus/Upgrades/CosmeticEnhancers/Offensive/PrimaryDmgOnMeleeKill</x:v>
      </x:c>
      <x:c r="H186" s="62" t="str">
        <x:v>reason=MISSING_OR_DIFFERENT_STABLE_ID</x:v>
      </x:c>
      <x:c r="I186" s="62" t="str">
        <x:v>NOT_REVIEWED</x:v>
      </x:c>
      <x:c r="J186" s="62" t="str"/>
    </x:row>
    <x:row r="187">
      <x:c r="A187" s="31" t="str">
        <x:v>ARC-0060</x:v>
      </x:c>
      <x:c r="B187" s="31" t="str">
        <x:v>P2</x:v>
      </x:c>
      <x:c r="C187" s="31" t="str">
        <x:v>Arcane Primary Charger</x:v>
      </x:c>
      <x:c r="D187" s="31" t="str">
        <x:v>Arcane Primary Charger</x:v>
      </x:c>
      <x:c r="E187" s="31" t="str">
        <x:v>equipment_type</x:v>
      </x:c>
      <x:c r="F187" s="62" t="str"/>
      <x:c r="G187" s="62" t="str">
        <x:v>Warframe Arcane</x:v>
      </x:c>
      <x:c r="H187" s="62" t="str">
        <x:v>legacy_subcategory=Eidolon; reason=EQUIPMENT_COMPATIBILITY_IS_SEPARATE_FROM_LEGACY_SUBCATEGORY</x:v>
      </x:c>
      <x:c r="I187" s="62" t="str">
        <x:v>NOT_REVIEWED</x:v>
      </x:c>
      <x:c r="J187" s="62" t="str"/>
    </x:row>
    <x:row r="188">
      <x:c r="A188" s="31" t="str">
        <x:v>ARC-0060</x:v>
      </x:c>
      <x:c r="B188" s="31" t="str">
        <x:v>P2</x:v>
      </x:c>
      <x:c r="C188" s="31" t="str">
        <x:v>Arcane Primary Charger</x:v>
      </x:c>
      <x:c r="D188" s="31" t="str">
        <x:v>Arcane Primary Charger</x:v>
      </x:c>
      <x:c r="E188" s="31" t="str">
        <x:v>introduced_update</x:v>
      </x:c>
      <x:c r="F188" s="62" t="str">
        <x:v>25.7.6</x:v>
      </x:c>
      <x:c r="G188" s="62" t="str">
        <x:v>Hotfix 25.7.6</x:v>
      </x:c>
      <x:c r="H188" s="62" t="str"/>
      <x:c r="I188" s="62" t="str">
        <x:v>NOT_REVIEWED</x:v>
      </x:c>
      <x:c r="J188" s="62" t="str"/>
    </x:row>
    <x:row r="189">
      <x:c r="A189" s="31" t="str">
        <x:v>ARC-0060</x:v>
      </x:c>
      <x:c r="B189" s="31" t="str">
        <x:v>P2</x:v>
      </x:c>
      <x:c r="C189" s="31" t="str">
        <x:v>Arcane Primary Charger</x:v>
      </x:c>
      <x:c r="D189" s="31" t="str">
        <x:v>Arcane Primary Charger</x:v>
      </x:c>
      <x:c r="E189" s="31" t="str">
        <x:v>effect_text</x:v>
      </x:c>
      <x:c r="F189" s="62" t="str">
        <x:v>+100% Primary Damage for 24s</x:v>
      </x:c>
      <x:c r="G189" s="62" t="str">
        <x:v>On Melee Kill:\n30% chance for +300% Primary Weapon Damage for 12s\n+1 Arcane Revive
+1 Arcane Revive</x:v>
      </x:c>
      <x:c r="H189" s="62" t="str">
        <x:v>comparison=HEURISTIC_TEXT_ONLY</x:v>
      </x:c>
      <x:c r="I189" s="62" t="str">
        <x:v>NOT_REVIEWED</x:v>
      </x:c>
      <x:c r="J189" s="62" t="str"/>
    </x:row>
    <x:row r="190">
      <x:c r="A190" s="31" t="str">
        <x:v>ARC-0061</x:v>
      </x:c>
      <x:c r="B190" s="31" t="str">
        <x:v>P2</x:v>
      </x:c>
      <x:c r="C190" s="31" t="str">
        <x:v>Arcane Pulse</x:v>
      </x:c>
      <x:c r="D190" s="31" t="str">
        <x:v>Arcane Pulse</x:v>
      </x:c>
      <x:c r="E190" s="31" t="str">
        <x:v>unique_name</x:v>
      </x:c>
      <x:c r="F190" s="62" t="str"/>
      <x:c r="G190" s="62" t="str">
        <x:v>/Lotus/Upgrades/CosmeticEnhancers/Utility/RadialHealOnHealthPickup</x:v>
      </x:c>
      <x:c r="H190" s="62" t="str">
        <x:v>reason=MISSING_OR_DIFFERENT_STABLE_ID</x:v>
      </x:c>
      <x:c r="I190" s="62" t="str">
        <x:v>NOT_REVIEWED</x:v>
      </x:c>
      <x:c r="J190" s="62" t="str"/>
    </x:row>
    <x:row r="191">
      <x:c r="A191" s="31" t="str">
        <x:v>ARC-0061</x:v>
      </x:c>
      <x:c r="B191" s="31" t="str">
        <x:v>P2</x:v>
      </x:c>
      <x:c r="C191" s="31" t="str">
        <x:v>Arcane Pulse</x:v>
      </x:c>
      <x:c r="D191" s="31" t="str">
        <x:v>Arcane Pulse</x:v>
      </x:c>
      <x:c r="E191" s="31" t="str">
        <x:v>equipment_type</x:v>
      </x:c>
      <x:c r="F191" s="62" t="str"/>
      <x:c r="G191" s="62" t="str">
        <x:v>Warframe Arcane</x:v>
      </x:c>
      <x:c r="H191" s="62" t="str">
        <x:v>legacy_subcategory=Eidolon; reason=EQUIPMENT_COMPATIBILITY_IS_SEPARATE_FROM_LEGACY_SUBCATEGORY</x:v>
      </x:c>
      <x:c r="I191" s="62" t="str">
        <x:v>NOT_REVIEWED</x:v>
      </x:c>
      <x:c r="J191" s="62" t="str"/>
    </x:row>
    <x:row r="192">
      <x:c r="A192" s="31" t="str">
        <x:v>ARC-0061</x:v>
      </x:c>
      <x:c r="B192" s="31" t="str">
        <x:v>P2</x:v>
      </x:c>
      <x:c r="C192" s="31" t="str">
        <x:v>Arcane Pulse</x:v>
      </x:c>
      <x:c r="D192" s="31" t="str">
        <x:v>Arcane Pulse</x:v>
      </x:c>
      <x:c r="E192" s="31" t="str">
        <x:v>introduced_update</x:v>
      </x:c>
      <x:c r="F192" s="62" t="str">
        <x:v>22.14</x:v>
      </x:c>
      <x:c r="G192" s="62" t="str">
        <x:v>Update 16.0</x:v>
      </x:c>
      <x:c r="H192" s="62" t="str"/>
      <x:c r="I192" s="62" t="str">
        <x:v>NOT_REVIEWED</x:v>
      </x:c>
      <x:c r="J192" s="62" t="str"/>
    </x:row>
    <x:row r="193">
      <x:c r="A193" s="31" t="str">
        <x:v>ARC-0061</x:v>
      </x:c>
      <x:c r="B193" s="31" t="str">
        <x:v>P2</x:v>
      </x:c>
      <x:c r="C193" s="31" t="str">
        <x:v>Arcane Pulse</x:v>
      </x:c>
      <x:c r="D193" s="31" t="str">
        <x:v>Arcane Pulse</x:v>
      </x:c>
      <x:c r="E193" s="31" t="str">
        <x:v>effect_text</x:v>
      </x:c>
      <x:c r="F193" s="62" t="str">
        <x:v>Restore 150 HP to allies within 25m</x:v>
      </x:c>
      <x:c r="G193" s="62" t="str">
        <x:v>On Health Pickup:\n60% chance to restore 500 Health to allies within 25m\n15s cooldown\n+1 Arcane Revive
+1 Arcane Revive</x:v>
      </x:c>
      <x:c r="H193" s="62" t="str">
        <x:v>comparison=HEURISTIC_TEXT_ONLY</x:v>
      </x:c>
      <x:c r="I193" s="62" t="str">
        <x:v>NOT_REVIEWED</x:v>
      </x:c>
      <x:c r="J193" s="62" t="str"/>
    </x:row>
    <x:row r="194">
      <x:c r="A194" s="31" t="str">
        <x:v>ARC-0062</x:v>
      </x:c>
      <x:c r="B194" s="31" t="str">
        <x:v>P2</x:v>
      </x:c>
      <x:c r="C194" s="31" t="str">
        <x:v>Arcane Rage</x:v>
      </x:c>
      <x:c r="D194" s="31" t="str">
        <x:v>Arcane Rage</x:v>
      </x:c>
      <x:c r="E194" s="31" t="str">
        <x:v>unique_name</x:v>
      </x:c>
      <x:c r="F194" s="62" t="str"/>
      <x:c r="G194" s="62" t="str">
        <x:v>/Lotus/Upgrades/CosmeticEnhancers/Offensive/LongGunDamageOnHeadshot</x:v>
      </x:c>
      <x:c r="H194" s="62" t="str">
        <x:v>reason=MISSING_OR_DIFFERENT_STABLE_ID</x:v>
      </x:c>
      <x:c r="I194" s="62" t="str">
        <x:v>NOT_REVIEWED</x:v>
      </x:c>
      <x:c r="J194" s="62" t="str"/>
    </x:row>
    <x:row r="195">
      <x:c r="A195" s="31" t="str">
        <x:v>ARC-0062</x:v>
      </x:c>
      <x:c r="B195" s="31" t="str">
        <x:v>P2</x:v>
      </x:c>
      <x:c r="C195" s="31" t="str">
        <x:v>Arcane Rage</x:v>
      </x:c>
      <x:c r="D195" s="31" t="str">
        <x:v>Arcane Rage</x:v>
      </x:c>
      <x:c r="E195" s="31" t="str">
        <x:v>equipment_type</x:v>
      </x:c>
      <x:c r="F195" s="62" t="str"/>
      <x:c r="G195" s="62" t="str">
        <x:v>Warframe Arcane</x:v>
      </x:c>
      <x:c r="H195" s="62" t="str">
        <x:v>legacy_subcategory=Eidolon; reason=EQUIPMENT_COMPATIBILITY_IS_SEPARATE_FROM_LEGACY_SUBCATEGORY</x:v>
      </x:c>
      <x:c r="I195" s="62" t="str">
        <x:v>NOT_REVIEWED</x:v>
      </x:c>
      <x:c r="J195" s="62" t="str"/>
    </x:row>
    <x:row r="196">
      <x:c r="A196" s="31" t="str">
        <x:v>ARC-0062</x:v>
      </x:c>
      <x:c r="B196" s="31" t="str">
        <x:v>P2</x:v>
      </x:c>
      <x:c r="C196" s="31" t="str">
        <x:v>Arcane Rage</x:v>
      </x:c>
      <x:c r="D196" s="31" t="str">
        <x:v>Arcane Rage</x:v>
      </x:c>
      <x:c r="E196" s="31" t="str">
        <x:v>introduced_update</x:v>
      </x:c>
      <x:c r="F196" s="62" t="str">
        <x:v>22.14</x:v>
      </x:c>
      <x:c r="G196" s="62" t="str">
        <x:v>Update 16.0</x:v>
      </x:c>
      <x:c r="H196" s="62" t="str"/>
      <x:c r="I196" s="62" t="str">
        <x:v>NOT_REVIEWED</x:v>
      </x:c>
      <x:c r="J196" s="62" t="str"/>
    </x:row>
    <x:row r="197">
      <x:c r="A197" s="31" t="str">
        <x:v>ARC-0062</x:v>
      </x:c>
      <x:c r="B197" s="31" t="str">
        <x:v>P2</x:v>
      </x:c>
      <x:c r="C197" s="31" t="str">
        <x:v>Arcane Rage</x:v>
      </x:c>
      <x:c r="D197" s="31" t="str">
        <x:v>Arcane Rage</x:v>
      </x:c>
      <x:c r="E197" s="31" t="str">
        <x:v>effect_text</x:v>
      </x:c>
      <x:c r="F197" s="62" t="str">
        <x:v>+120% Primary Damage for 12s</x:v>
      </x:c>
      <x:c r="G197" s="62" t="str">
        <x:v>On Headshot:\n15% chance for +180% Damage to Primary Weapons for 24s\n+1 Arcane Revive
+1 Arcane Revive</x:v>
      </x:c>
      <x:c r="H197" s="62" t="str">
        <x:v>comparison=HEURISTIC_TEXT_ONLY</x:v>
      </x:c>
      <x:c r="I197" s="62" t="str">
        <x:v>NOT_REVIEWED</x:v>
      </x:c>
      <x:c r="J197" s="62" t="str"/>
    </x:row>
    <x:row r="198">
      <x:c r="A198" s="31" t="str">
        <x:v>ARC-0063</x:v>
      </x:c>
      <x:c r="B198" s="31" t="str">
        <x:v>P2</x:v>
      </x:c>
      <x:c r="C198" s="31" t="str">
        <x:v>Arcane Reaper</x:v>
      </x:c>
      <x:c r="D198" s="31" t="str">
        <x:v>Arcane Reaper</x:v>
      </x:c>
      <x:c r="E198" s="31" t="str">
        <x:v>unique_name</x:v>
      </x:c>
      <x:c r="F198" s="62" t="str"/>
      <x:c r="G198" s="62" t="str">
        <x:v>/Lotus/Upgrades/CosmeticEnhancers/OperatorArmour/HealthRegenAndArmorOnMeleeKill</x:v>
      </x:c>
      <x:c r="H198" s="62" t="str">
        <x:v>reason=MISSING_OR_DIFFERENT_STABLE_ID</x:v>
      </x:c>
      <x:c r="I198" s="62" t="str">
        <x:v>NOT_REVIEWED</x:v>
      </x:c>
      <x:c r="J198" s="62" t="str"/>
    </x:row>
    <x:row r="199">
      <x:c r="A199" s="31" t="str">
        <x:v>ARC-0063</x:v>
      </x:c>
      <x:c r="B199" s="31" t="str">
        <x:v>P2</x:v>
      </x:c>
      <x:c r="C199" s="31" t="str">
        <x:v>Arcane Reaper</x:v>
      </x:c>
      <x:c r="D199" s="31" t="str">
        <x:v>Arcane Reaper</x:v>
      </x:c>
      <x:c r="E199" s="31" t="str">
        <x:v>equipment_type</x:v>
      </x:c>
      <x:c r="F199" s="62" t="str"/>
      <x:c r="G199" s="62" t="str">
        <x:v>Warframe Arcane</x:v>
      </x:c>
      <x:c r="H199" s="62" t="str">
        <x:v>legacy_subcategory=; reason=EQUIPMENT_COMPATIBILITY_IS_SEPARATE_FROM_LEGACY_SUBCATEGORY</x:v>
      </x:c>
      <x:c r="I199" s="62" t="str">
        <x:v>NOT_REVIEWED</x:v>
      </x:c>
      <x:c r="J199" s="62" t="str"/>
    </x:row>
    <x:row r="200">
      <x:c r="A200" s="31" t="str">
        <x:v>ARC-0063</x:v>
      </x:c>
      <x:c r="B200" s="31" t="str">
        <x:v>P2</x:v>
      </x:c>
      <x:c r="C200" s="31" t="str">
        <x:v>Arcane Reaper</x:v>
      </x:c>
      <x:c r="D200" s="31" t="str">
        <x:v>Arcane Reaper</x:v>
      </x:c>
      <x:c r="E200" s="31" t="str">
        <x:v>introduced_update</x:v>
      </x:c>
      <x:c r="F200" s="62" t="str"/>
      <x:c r="G200" s="62" t="str">
        <x:v>Update 33.0</x:v>
      </x:c>
      <x:c r="H200" s="62" t="str"/>
      <x:c r="I200" s="62" t="str">
        <x:v>NOT_REVIEWED</x:v>
      </x:c>
      <x:c r="J200" s="62" t="str"/>
    </x:row>
    <x:row r="201">
      <x:c r="A201" s="31" t="str">
        <x:v>ARC-0063</x:v>
      </x:c>
      <x:c r="B201" s="31" t="str">
        <x:v>P2</x:v>
      </x:c>
      <x:c r="C201" s="31" t="str">
        <x:v>Arcane Reaper</x:v>
      </x:c>
      <x:c r="D201" s="31" t="str">
        <x:v>Arcane Reaper</x:v>
      </x:c>
      <x:c r="E201" s="31" t="str">
        <x:v>effect_text</x:v>
      </x:c>
      <x:c r="F201" s="62" t="str"/>
      <x:c r="G201" s="62" t="str">
        <x:v>On Melee Kill:\n+24 Health Regen/s and +660 Armor for 10s.\n+1 Arcane Revive
+1 Arcane Revive</x:v>
      </x:c>
      <x:c r="H201" s="62" t="str">
        <x:v>comparison=HEURISTIC_TEXT_ONLY</x:v>
      </x:c>
      <x:c r="I201" s="62" t="str">
        <x:v>NOT_REVIEWED</x:v>
      </x:c>
      <x:c r="J201" s="62" t="str"/>
    </x:row>
    <x:row r="202">
      <x:c r="A202" s="31" t="str">
        <x:v>ARC-0064</x:v>
      </x:c>
      <x:c r="B202" s="31" t="str">
        <x:v>P2</x:v>
      </x:c>
      <x:c r="C202" s="31" t="str">
        <x:v>Arcane Resistance</x:v>
      </x:c>
      <x:c r="D202" s="31" t="str">
        <x:v>Arcane Resistance</x:v>
      </x:c>
      <x:c r="E202" s="31" t="str">
        <x:v>unique_name</x:v>
      </x:c>
      <x:c r="F202" s="62" t="str"/>
      <x:c r="G202" s="62" t="str">
        <x:v>/Lotus/Upgrades/CosmeticEnhancers/Defensive/ElectricityProcResist</x:v>
      </x:c>
      <x:c r="H202" s="62" t="str">
        <x:v>reason=MISSING_OR_DIFFERENT_STABLE_ID</x:v>
      </x:c>
      <x:c r="I202" s="62" t="str">
        <x:v>NOT_REVIEWED</x:v>
      </x:c>
      <x:c r="J202" s="62" t="str"/>
    </x:row>
    <x:row r="203">
      <x:c r="A203" s="31" t="str">
        <x:v>ARC-0064</x:v>
      </x:c>
      <x:c r="B203" s="31" t="str">
        <x:v>P2</x:v>
      </x:c>
      <x:c r="C203" s="31" t="str">
        <x:v>Arcane Resistance</x:v>
      </x:c>
      <x:c r="D203" s="31" t="str">
        <x:v>Arcane Resistance</x:v>
      </x:c>
      <x:c r="E203" s="31" t="str">
        <x:v>equipment_type</x:v>
      </x:c>
      <x:c r="F203" s="62" t="str"/>
      <x:c r="G203" s="62" t="str">
        <x:v>Warframe Arcane</x:v>
      </x:c>
      <x:c r="H203" s="62" t="str">
        <x:v>legacy_subcategory=Eidolon; reason=EQUIPMENT_COMPATIBILITY_IS_SEPARATE_FROM_LEGACY_SUBCATEGORY</x:v>
      </x:c>
      <x:c r="I203" s="62" t="str">
        <x:v>NOT_REVIEWED</x:v>
      </x:c>
      <x:c r="J203" s="62" t="str"/>
    </x:row>
    <x:row r="204">
      <x:c r="A204" s="31" t="str">
        <x:v>ARC-0064</x:v>
      </x:c>
      <x:c r="B204" s="31" t="str">
        <x:v>P2</x:v>
      </x:c>
      <x:c r="C204" s="31" t="str">
        <x:v>Arcane Resistance</x:v>
      </x:c>
      <x:c r="D204" s="31" t="str">
        <x:v>Arcane Resistance</x:v>
      </x:c>
      <x:c r="E204" s="31" t="str">
        <x:v>introduced_update</x:v>
      </x:c>
      <x:c r="F204" s="62" t="str">
        <x:v>22.14</x:v>
      </x:c>
      <x:c r="G204" s="62" t="str">
        <x:v>Update 16.0</x:v>
      </x:c>
      <x:c r="H204" s="62" t="str"/>
      <x:c r="I204" s="62" t="str">
        <x:v>NOT_REVIEWED</x:v>
      </x:c>
      <x:c r="J204" s="62" t="str"/>
    </x:row>
    <x:row r="205">
      <x:c r="A205" s="31" t="str">
        <x:v>ARC-0064</x:v>
      </x:c>
      <x:c r="B205" s="31" t="str">
        <x:v>P2</x:v>
      </x:c>
      <x:c r="C205" s="31" t="str">
        <x:v>Arcane Resistance</x:v>
      </x:c>
      <x:c r="D205" s="31" t="str">
        <x:v>Arcane Resistance</x:v>
      </x:c>
      <x:c r="E205" s="31" t="str">
        <x:v>effect_text</x:v>
      </x:c>
      <x:c r="F205" s="62" t="str">
        <x:v>60% chance to negate a Poison Status proc</x:v>
      </x:c>
      <x:c r="G205" s="62" t="str">
        <x:v>+102% chance to resist a &lt;DT_POISON_COLOR&gt;Toxin Status effect.
+1 Arcane Revive</x:v>
      </x:c>
      <x:c r="H205" s="62" t="str">
        <x:v>comparison=HEURISTIC_TEXT_ONLY</x:v>
      </x:c>
      <x:c r="I205" s="62" t="str">
        <x:v>NOT_REVIEWED</x:v>
      </x:c>
      <x:c r="J205" s="62" t="str"/>
    </x:row>
    <x:row r="206">
      <x:c r="A206" s="31" t="str">
        <x:v>ARC-0065</x:v>
      </x:c>
      <x:c r="B206" s="31" t="str">
        <x:v>P2</x:v>
      </x:c>
      <x:c r="C206" s="31" t="str">
        <x:v>Arcane Rise</x:v>
      </x:c>
      <x:c r="D206" s="31" t="str">
        <x:v>Arcane Rise</x:v>
      </x:c>
      <x:c r="E206" s="31" t="str">
        <x:v>unique_name</x:v>
      </x:c>
      <x:c r="F206" s="62" t="str"/>
      <x:c r="G206" s="62" t="str">
        <x:v>/Lotus/Upgrades/CosmeticEnhancers/Utility/LongGunDamageOnReload</x:v>
      </x:c>
      <x:c r="H206" s="62" t="str">
        <x:v>reason=MISSING_OR_DIFFERENT_STABLE_ID</x:v>
      </x:c>
      <x:c r="I206" s="62" t="str">
        <x:v>NOT_REVIEWED</x:v>
      </x:c>
      <x:c r="J206" s="62" t="str"/>
    </x:row>
    <x:row r="207">
      <x:c r="A207" s="31" t="str">
        <x:v>ARC-0065</x:v>
      </x:c>
      <x:c r="B207" s="31" t="str">
        <x:v>P2</x:v>
      </x:c>
      <x:c r="C207" s="31" t="str">
        <x:v>Arcane Rise</x:v>
      </x:c>
      <x:c r="D207" s="31" t="str">
        <x:v>Arcane Rise</x:v>
      </x:c>
      <x:c r="E207" s="31" t="str">
        <x:v>equipment_type</x:v>
      </x:c>
      <x:c r="F207" s="62" t="str"/>
      <x:c r="G207" s="62" t="str">
        <x:v>Warframe Arcane</x:v>
      </x:c>
      <x:c r="H207" s="62" t="str">
        <x:v>legacy_subcategory=Eidolon; reason=EQUIPMENT_COMPATIBILITY_IS_SEPARATE_FROM_LEGACY_SUBCATEGORY</x:v>
      </x:c>
      <x:c r="I207" s="62" t="str">
        <x:v>NOT_REVIEWED</x:v>
      </x:c>
      <x:c r="J207" s="62" t="str"/>
    </x:row>
    <x:row r="208">
      <x:c r="A208" s="31" t="str">
        <x:v>ARC-0065</x:v>
      </x:c>
      <x:c r="B208" s="31" t="str">
        <x:v>P2</x:v>
      </x:c>
      <x:c r="C208" s="31" t="str">
        <x:v>Arcane Rise</x:v>
      </x:c>
      <x:c r="D208" s="31" t="str">
        <x:v>Arcane Rise</x:v>
      </x:c>
      <x:c r="E208" s="31" t="str">
        <x:v>introduced_update</x:v>
      </x:c>
      <x:c r="F208" s="62" t="str">
        <x:v>22.14</x:v>
      </x:c>
      <x:c r="G208" s="62" t="str">
        <x:v>Update 32.2</x:v>
      </x:c>
      <x:c r="H208" s="62" t="str"/>
      <x:c r="I208" s="62" t="str">
        <x:v>NOT_REVIEWED</x:v>
      </x:c>
      <x:c r="J208" s="62" t="str"/>
    </x:row>
    <x:row r="209">
      <x:c r="A209" s="31" t="str">
        <x:v>ARC-0065</x:v>
      </x:c>
      <x:c r="B209" s="31" t="str">
        <x:v>P2</x:v>
      </x:c>
      <x:c r="C209" s="31" t="str">
        <x:v>Arcane Rise</x:v>
      </x:c>
      <x:c r="D209" s="31" t="str">
        <x:v>Arcane Rise</x:v>
      </x:c>
      <x:c r="E209" s="31" t="str">
        <x:v>effect_text</x:v>
      </x:c>
      <x:c r="F209" s="62" t="str">
        <x:v>+75% Primary Damage for 12s</x:v>
      </x:c>
      <x:c r="G209" s="62" t="str">
        <x:v>On Reload:\n60% chance for +150% Damage to Primary Weapons for 24s\n+1 Arcane Revive
+1 Arcane Revive</x:v>
      </x:c>
      <x:c r="H209" s="62" t="str">
        <x:v>comparison=HEURISTIC_TEXT_ONLY</x:v>
      </x:c>
      <x:c r="I209" s="62" t="str">
        <x:v>NOT_REVIEWED</x:v>
      </x:c>
      <x:c r="J209" s="62" t="str"/>
    </x:row>
    <x:row r="210">
      <x:c r="A210" s="31" t="str">
        <x:v>ARC-0066</x:v>
      </x:c>
      <x:c r="B210" s="31" t="str">
        <x:v>P2</x:v>
      </x:c>
      <x:c r="C210" s="31" t="str">
        <x:v>Arcane Strike</x:v>
      </x:c>
      <x:c r="D210" s="31" t="str">
        <x:v>Arcane Strike</x:v>
      </x:c>
      <x:c r="E210" s="31" t="str">
        <x:v>unique_name</x:v>
      </x:c>
      <x:c r="F210" s="62" t="str"/>
      <x:c r="G210" s="62" t="str">
        <x:v>/Lotus/Upgrades/CosmeticEnhancers/Offensive/MeleeSpeedOnHit</x:v>
      </x:c>
      <x:c r="H210" s="62" t="str">
        <x:v>reason=MISSING_OR_DIFFERENT_STABLE_ID</x:v>
      </x:c>
      <x:c r="I210" s="62" t="str">
        <x:v>NOT_REVIEWED</x:v>
      </x:c>
      <x:c r="J210" s="62" t="str"/>
    </x:row>
    <x:row r="211">
      <x:c r="A211" s="31" t="str">
        <x:v>ARC-0066</x:v>
      </x:c>
      <x:c r="B211" s="31" t="str">
        <x:v>P2</x:v>
      </x:c>
      <x:c r="C211" s="31" t="str">
        <x:v>Arcane Strike</x:v>
      </x:c>
      <x:c r="D211" s="31" t="str">
        <x:v>Arcane Strike</x:v>
      </x:c>
      <x:c r="E211" s="31" t="str">
        <x:v>equipment_type</x:v>
      </x:c>
      <x:c r="F211" s="62" t="str"/>
      <x:c r="G211" s="62" t="str">
        <x:v>Warframe Arcane</x:v>
      </x:c>
      <x:c r="H211" s="62" t="str">
        <x:v>legacy_subcategory=Eidolon; reason=EQUIPMENT_COMPATIBILITY_IS_SEPARATE_FROM_LEGACY_SUBCATEGORY</x:v>
      </x:c>
      <x:c r="I211" s="62" t="str">
        <x:v>NOT_REVIEWED</x:v>
      </x:c>
      <x:c r="J211" s="62" t="str"/>
    </x:row>
    <x:row r="212">
      <x:c r="A212" s="31" t="str">
        <x:v>ARC-0066</x:v>
      </x:c>
      <x:c r="B212" s="31" t="str">
        <x:v>P2</x:v>
      </x:c>
      <x:c r="C212" s="31" t="str">
        <x:v>Arcane Strike</x:v>
      </x:c>
      <x:c r="D212" s="31" t="str">
        <x:v>Arcane Strike</x:v>
      </x:c>
      <x:c r="E212" s="31" t="str">
        <x:v>introduced_update</x:v>
      </x:c>
      <x:c r="F212" s="62" t="str">
        <x:v>22.14</x:v>
      </x:c>
      <x:c r="G212" s="62" t="str">
        <x:v>Update 16.0</x:v>
      </x:c>
      <x:c r="H212" s="62" t="str"/>
      <x:c r="I212" s="62" t="str">
        <x:v>NOT_REVIEWED</x:v>
      </x:c>
      <x:c r="J212" s="62" t="str"/>
    </x:row>
    <x:row r="213">
      <x:c r="A213" s="31" t="str">
        <x:v>ARC-0066</x:v>
      </x:c>
      <x:c r="B213" s="31" t="str">
        <x:v>P2</x:v>
      </x:c>
      <x:c r="C213" s="31" t="str">
        <x:v>Arcane Strike</x:v>
      </x:c>
      <x:c r="D213" s="31" t="str">
        <x:v>Arcane Strike</x:v>
      </x:c>
      <x:c r="E213" s="31" t="str">
        <x:v>effect_text</x:v>
      </x:c>
      <x:c r="F213" s="62" t="str">
        <x:v>+60% Attack Speed for 6s</x:v>
      </x:c>
      <x:c r="G213" s="62" t="str">
        <x:v>On Hit:\n15% chance for +60% Attack Speed to Melee Weapons for 18s\n+1 Arcane Revive
+1 Arcane Revive</x:v>
      </x:c>
      <x:c r="H213" s="62" t="str">
        <x:v>comparison=HEURISTIC_TEXT_ONLY</x:v>
      </x:c>
      <x:c r="I213" s="62" t="str">
        <x:v>NOT_REVIEWED</x:v>
      </x:c>
      <x:c r="J213" s="62" t="str"/>
    </x:row>
    <x:row r="214">
      <x:c r="A214" s="31" t="str">
        <x:v>ARC-0067</x:v>
      </x:c>
      <x:c r="B214" s="31" t="str">
        <x:v>P2</x:v>
      </x:c>
      <x:c r="C214" s="31" t="str">
        <x:v>Arcane Tanker</x:v>
      </x:c>
      <x:c r="D214" s="31" t="str">
        <x:v>Arcane Tanker</x:v>
      </x:c>
      <x:c r="E214" s="31" t="str">
        <x:v>unique_name</x:v>
      </x:c>
      <x:c r="F214" s="62" t="str"/>
      <x:c r="G214" s="62" t="str">
        <x:v>/Lotus/Upgrades/CosmeticEnhancers/Offensive/ArmorOnHeavyGunEquipped</x:v>
      </x:c>
      <x:c r="H214" s="62" t="str">
        <x:v>reason=MISSING_OR_DIFFERENT_STABLE_ID</x:v>
      </x:c>
      <x:c r="I214" s="62" t="str">
        <x:v>NOT_REVIEWED</x:v>
      </x:c>
      <x:c r="J214" s="62" t="str"/>
    </x:row>
    <x:row r="215">
      <x:c r="A215" s="31" t="str">
        <x:v>ARC-0067</x:v>
      </x:c>
      <x:c r="B215" s="31" t="str">
        <x:v>P2</x:v>
      </x:c>
      <x:c r="C215" s="31" t="str">
        <x:v>Arcane Tanker</x:v>
      </x:c>
      <x:c r="D215" s="31" t="str">
        <x:v>Arcane Tanker</x:v>
      </x:c>
      <x:c r="E215" s="31" t="str">
        <x:v>equipment_type</x:v>
      </x:c>
      <x:c r="F215" s="62" t="str"/>
      <x:c r="G215" s="62" t="str">
        <x:v>Warframe Arcane</x:v>
      </x:c>
      <x:c r="H215" s="62" t="str">
        <x:v>legacy_subcategory=Eidolon; reason=EQUIPMENT_COMPATIBILITY_IS_SEPARATE_FROM_LEGACY_SUBCATEGORY</x:v>
      </x:c>
      <x:c r="I215" s="62" t="str">
        <x:v>NOT_REVIEWED</x:v>
      </x:c>
      <x:c r="J215" s="62" t="str"/>
    </x:row>
    <x:row r="216">
      <x:c r="A216" s="31" t="str">
        <x:v>ARC-0067</x:v>
      </x:c>
      <x:c r="B216" s="31" t="str">
        <x:v>P2</x:v>
      </x:c>
      <x:c r="C216" s="31" t="str">
        <x:v>Arcane Tanker</x:v>
      </x:c>
      <x:c r="D216" s="31" t="str">
        <x:v>Arcane Tanker</x:v>
      </x:c>
      <x:c r="E216" s="31" t="str">
        <x:v>introduced_update</x:v>
      </x:c>
      <x:c r="F216" s="62" t="str">
        <x:v>22.14</x:v>
      </x:c>
      <x:c r="G216" s="62" t="str">
        <x:v>Hotfix 25.7.6</x:v>
      </x:c>
      <x:c r="H216" s="62" t="str"/>
      <x:c r="I216" s="62" t="str">
        <x:v>NOT_REVIEWED</x:v>
      </x:c>
      <x:c r="J216" s="62" t="str"/>
    </x:row>
    <x:row r="217">
      <x:c r="A217" s="31" t="str">
        <x:v>ARC-0067</x:v>
      </x:c>
      <x:c r="B217" s="31" t="str">
        <x:v>P2</x:v>
      </x:c>
      <x:c r="C217" s="31" t="str">
        <x:v>Arcane Tanker</x:v>
      </x:c>
      <x:c r="D217" s="31" t="str">
        <x:v>Arcane Tanker</x:v>
      </x:c>
      <x:c r="E217" s="31" t="str">
        <x:v>effect_text</x:v>
      </x:c>
      <x:c r="F217" s="62" t="str">
        <x:v>Warframe +300 Armor for 30s</x:v>
      </x:c>
      <x:c r="G217" s="62" t="str">
        <x:v>On Archgun Equipped:\n+1,200 Armor for 60s\n+1 Arcane Revive
+1 Arcane Revive</x:v>
      </x:c>
      <x:c r="H217" s="62" t="str">
        <x:v>comparison=HEURISTIC_TEXT_ONLY</x:v>
      </x:c>
      <x:c r="I217" s="62" t="str">
        <x:v>NOT_REVIEWED</x:v>
      </x:c>
      <x:c r="J217" s="62" t="str"/>
    </x:row>
    <x:row r="218">
      <x:c r="A218" s="31" t="str">
        <x:v>ARC-0068</x:v>
      </x:c>
      <x:c r="B218" s="31" t="str">
        <x:v>P2</x:v>
      </x:c>
      <x:c r="C218" s="31" t="str">
        <x:v>Arcane Tempo</x:v>
      </x:c>
      <x:c r="D218" s="31" t="str">
        <x:v>Arcane Tempo</x:v>
      </x:c>
      <x:c r="E218" s="31" t="str">
        <x:v>unique_name</x:v>
      </x:c>
      <x:c r="F218" s="62" t="str"/>
      <x:c r="G218" s="62" t="str">
        <x:v>/Lotus/Upgrades/CosmeticEnhancers/Offensive/GolemArcaneShotgunSpeedOnCrit</x:v>
      </x:c>
      <x:c r="H218" s="62" t="str">
        <x:v>reason=MISSING_OR_DIFFERENT_STABLE_ID</x:v>
      </x:c>
      <x:c r="I218" s="62" t="str">
        <x:v>NOT_REVIEWED</x:v>
      </x:c>
      <x:c r="J218" s="62" t="str"/>
    </x:row>
    <x:row r="219">
      <x:c r="A219" s="31" t="str">
        <x:v>ARC-0068</x:v>
      </x:c>
      <x:c r="B219" s="31" t="str">
        <x:v>P2</x:v>
      </x:c>
      <x:c r="C219" s="31" t="str">
        <x:v>Arcane Tempo</x:v>
      </x:c>
      <x:c r="D219" s="31" t="str">
        <x:v>Arcane Tempo</x:v>
      </x:c>
      <x:c r="E219" s="31" t="str">
        <x:v>equipment_type</x:v>
      </x:c>
      <x:c r="F219" s="62" t="str"/>
      <x:c r="G219" s="62" t="str">
        <x:v>Warframe Arcane</x:v>
      </x:c>
      <x:c r="H219" s="62" t="str">
        <x:v>legacy_subcategory=Eidolon; reason=EQUIPMENT_COMPATIBILITY_IS_SEPARATE_FROM_LEGACY_SUBCATEGORY</x:v>
      </x:c>
      <x:c r="I219" s="62" t="str">
        <x:v>NOT_REVIEWED</x:v>
      </x:c>
      <x:c r="J219" s="62" t="str"/>
    </x:row>
    <x:row r="220">
      <x:c r="A220" s="31" t="str">
        <x:v>ARC-0068</x:v>
      </x:c>
      <x:c r="B220" s="31" t="str">
        <x:v>P2</x:v>
      </x:c>
      <x:c r="C220" s="31" t="str">
        <x:v>Arcane Tempo</x:v>
      </x:c>
      <x:c r="D220" s="31" t="str">
        <x:v>Arcane Tempo</x:v>
      </x:c>
      <x:c r="E220" s="31" t="str">
        <x:v>introduced_update</x:v>
      </x:c>
      <x:c r="F220" s="62" t="str">
        <x:v>22.14</x:v>
      </x:c>
      <x:c r="G220" s="62" t="str">
        <x:v>Update 17.9.1</x:v>
      </x:c>
      <x:c r="H220" s="62" t="str"/>
      <x:c r="I220" s="62" t="str">
        <x:v>NOT_REVIEWED</x:v>
      </x:c>
      <x:c r="J220" s="62" t="str"/>
    </x:row>
    <x:row r="221">
      <x:c r="A221" s="31" t="str">
        <x:v>ARC-0068</x:v>
      </x:c>
      <x:c r="B221" s="31" t="str">
        <x:v>P2</x:v>
      </x:c>
      <x:c r="C221" s="31" t="str">
        <x:v>Arcane Tempo</x:v>
      </x:c>
      <x:c r="D221" s="31" t="str">
        <x:v>Arcane Tempo</x:v>
      </x:c>
      <x:c r="E221" s="31" t="str">
        <x:v>effect_text</x:v>
      </x:c>
      <x:c r="F221" s="62" t="str">
        <x:v>+60% Fire Rate for Primary Shotguns for 12s</x:v>
      </x:c>
      <x:c r="G221" s="62" t="str">
        <x:v>On Critical Hit:\n15% chance for +90% Fire Rate to Shotguns for 12s\n+1 Arcane Revive
+1 Arcane Revive</x:v>
      </x:c>
      <x:c r="H221" s="62" t="str">
        <x:v>comparison=HEURISTIC_TEXT_ONLY</x:v>
      </x:c>
      <x:c r="I221" s="62" t="str">
        <x:v>NOT_REVIEWED</x:v>
      </x:c>
      <x:c r="J221" s="62" t="str"/>
    </x:row>
    <x:row r="222">
      <x:c r="A222" s="31" t="str">
        <x:v>ARC-0069</x:v>
      </x:c>
      <x:c r="B222" s="31" t="str">
        <x:v>P2</x:v>
      </x:c>
      <x:c r="C222" s="31" t="str">
        <x:v>Arcane Trickery</x:v>
      </x:c>
      <x:c r="D222" s="31" t="str">
        <x:v>Arcane Trickery</x:v>
      </x:c>
      <x:c r="E222" s="31" t="str">
        <x:v>unique_name</x:v>
      </x:c>
      <x:c r="F222" s="62" t="str"/>
      <x:c r="G222" s="62" t="str">
        <x:v>/Lotus/Upgrades/CosmeticEnhancers/Offensive/InvisibilityOnFinisher</x:v>
      </x:c>
      <x:c r="H222" s="62" t="str">
        <x:v>reason=MISSING_OR_DIFFERENT_STABLE_ID</x:v>
      </x:c>
      <x:c r="I222" s="62" t="str">
        <x:v>NOT_REVIEWED</x:v>
      </x:c>
      <x:c r="J222" s="62" t="str"/>
    </x:row>
    <x:row r="223">
      <x:c r="A223" s="31" t="str">
        <x:v>ARC-0069</x:v>
      </x:c>
      <x:c r="B223" s="31" t="str">
        <x:v>P2</x:v>
      </x:c>
      <x:c r="C223" s="31" t="str">
        <x:v>Arcane Trickery</x:v>
      </x:c>
      <x:c r="D223" s="31" t="str">
        <x:v>Arcane Trickery</x:v>
      </x:c>
      <x:c r="E223" s="31" t="str">
        <x:v>equipment_type</x:v>
      </x:c>
      <x:c r="F223" s="62" t="str"/>
      <x:c r="G223" s="62" t="str">
        <x:v>Warframe Arcane</x:v>
      </x:c>
      <x:c r="H223" s="62" t="str">
        <x:v>legacy_subcategory=Eidolon; reason=EQUIPMENT_COMPATIBILITY_IS_SEPARATE_FROM_LEGACY_SUBCATEGORY</x:v>
      </x:c>
      <x:c r="I223" s="62" t="str">
        <x:v>NOT_REVIEWED</x:v>
      </x:c>
      <x:c r="J223" s="62" t="str"/>
    </x:row>
    <x:row r="224">
      <x:c r="A224" s="31" t="str">
        <x:v>ARC-0069</x:v>
      </x:c>
      <x:c r="B224" s="31" t="str">
        <x:v>P2</x:v>
      </x:c>
      <x:c r="C224" s="31" t="str">
        <x:v>Arcane Trickery</x:v>
      </x:c>
      <x:c r="D224" s="31" t="str">
        <x:v>Arcane Trickery</x:v>
      </x:c>
      <x:c r="E224" s="31" t="str">
        <x:v>introduced_update</x:v>
      </x:c>
      <x:c r="F224" s="62" t="str">
        <x:v>22.14</x:v>
      </x:c>
      <x:c r="G224" s="62" t="str">
        <x:v>Update 16.0</x:v>
      </x:c>
      <x:c r="H224" s="62" t="str"/>
      <x:c r="I224" s="62" t="str">
        <x:v>NOT_REVIEWED</x:v>
      </x:c>
      <x:c r="J224" s="62" t="str"/>
    </x:row>
    <x:row r="225">
      <x:c r="A225" s="31" t="str">
        <x:v>ARC-0069</x:v>
      </x:c>
      <x:c r="B225" s="31" t="str">
        <x:v>P2</x:v>
      </x:c>
      <x:c r="C225" s="31" t="str">
        <x:v>Arcane Trickery</x:v>
      </x:c>
      <x:c r="D225" s="31" t="str">
        <x:v>Arcane Trickery</x:v>
      </x:c>
      <x:c r="E225" s="31" t="str">
        <x:v>effect_text</x:v>
      </x:c>
      <x:c r="F225" s="62" t="str">
        <x:v>Chance to become invisible for 15s</x:v>
      </x:c>
      <x:c r="G225" s="62" t="str">
        <x:v>On Finisher Kill:\n15% chance to become invisible for 30s\n+1 Arcane Revive
+1 Arcane Revive</x:v>
      </x:c>
      <x:c r="H225" s="62" t="str">
        <x:v>comparison=HEURISTIC_TEXT_ONLY</x:v>
      </x:c>
      <x:c r="I225" s="62" t="str">
        <x:v>NOT_REVIEWED</x:v>
      </x:c>
      <x:c r="J225" s="62" t="str"/>
    </x:row>
    <x:row r="226">
      <x:c r="A226" s="31" t="str">
        <x:v>ARC-0070</x:v>
      </x:c>
      <x:c r="B226" s="31" t="str">
        <x:v>P2</x:v>
      </x:c>
      <x:c r="C226" s="31" t="str">
        <x:v>Arcane Ultimatum</x:v>
      </x:c>
      <x:c r="D226" s="31" t="str">
        <x:v>Arcane Ultimatum</x:v>
      </x:c>
      <x:c r="E226" s="31" t="str">
        <x:v>unique_name</x:v>
      </x:c>
      <x:c r="F226" s="62" t="str"/>
      <x:c r="G226" s="62" t="str">
        <x:v>/Lotus/Upgrades/CosmeticEnhancers/Offensive/GolemArcaneArmorOnFinisher</x:v>
      </x:c>
      <x:c r="H226" s="62" t="str">
        <x:v>reason=MISSING_OR_DIFFERENT_STABLE_ID</x:v>
      </x:c>
      <x:c r="I226" s="62" t="str">
        <x:v>NOT_REVIEWED</x:v>
      </x:c>
      <x:c r="J226" s="62" t="str"/>
    </x:row>
    <x:row r="227">
      <x:c r="A227" s="31" t="str">
        <x:v>ARC-0070</x:v>
      </x:c>
      <x:c r="B227" s="31" t="str">
        <x:v>P2</x:v>
      </x:c>
      <x:c r="C227" s="31" t="str">
        <x:v>Arcane Ultimatum</x:v>
      </x:c>
      <x:c r="D227" s="31" t="str">
        <x:v>Arcane Ultimatum</x:v>
      </x:c>
      <x:c r="E227" s="31" t="str">
        <x:v>equipment_type</x:v>
      </x:c>
      <x:c r="F227" s="62" t="str"/>
      <x:c r="G227" s="62" t="str">
        <x:v>Warframe Arcane</x:v>
      </x:c>
      <x:c r="H227" s="62" t="str">
        <x:v>legacy_subcategory=Eidolon; reason=EQUIPMENT_COMPATIBILITY_IS_SEPARATE_FROM_LEGACY_SUBCATEGORY</x:v>
      </x:c>
      <x:c r="I227" s="62" t="str">
        <x:v>NOT_REVIEWED</x:v>
      </x:c>
      <x:c r="J227" s="62" t="str"/>
    </x:row>
    <x:row r="228">
      <x:c r="A228" s="31" t="str">
        <x:v>ARC-0070</x:v>
      </x:c>
      <x:c r="B228" s="31" t="str">
        <x:v>P2</x:v>
      </x:c>
      <x:c r="C228" s="31" t="str">
        <x:v>Arcane Ultimatum</x:v>
      </x:c>
      <x:c r="D228" s="31" t="str">
        <x:v>Arcane Ultimatum</x:v>
      </x:c>
      <x:c r="E228" s="31" t="str">
        <x:v>introduced_update</x:v>
      </x:c>
      <x:c r="F228" s="62" t="str">
        <x:v>22.14</x:v>
      </x:c>
      <x:c r="G228" s="62" t="str">
        <x:v>Update 17.9.1</x:v>
      </x:c>
      <x:c r="H228" s="62" t="str"/>
      <x:c r="I228" s="62" t="str">
        <x:v>NOT_REVIEWED</x:v>
      </x:c>
      <x:c r="J228" s="62" t="str"/>
    </x:row>
    <x:row r="229">
      <x:c r="A229" s="31" t="str">
        <x:v>ARC-0070</x:v>
      </x:c>
      <x:c r="B229" s="31" t="str">
        <x:v>P2</x:v>
      </x:c>
      <x:c r="C229" s="31" t="str">
        <x:v>Arcane Ultimatum</x:v>
      </x:c>
      <x:c r="D229" s="31" t="str">
        <x:v>Arcane Ultimatum</x:v>
      </x:c>
      <x:c r="E229" s="31" t="str">
        <x:v>effect_text</x:v>
      </x:c>
      <x:c r="F229" s="62" t="str">
        <x:v>+900 Armor for 30s</x:v>
      </x:c>
      <x:c r="G229" s="62" t="str">
        <x:v>On Finisher Kill:\n+1,200 Armor for 45s\n+1 Arcane Revive
+1 Arcane Revive</x:v>
      </x:c>
      <x:c r="H229" s="62" t="str">
        <x:v>comparison=HEURISTIC_TEXT_ONLY</x:v>
      </x:c>
      <x:c r="I229" s="62" t="str">
        <x:v>NOT_REVIEWED</x:v>
      </x:c>
      <x:c r="J229" s="62" t="str"/>
    </x:row>
    <x:row r="230">
      <x:c r="A230" s="31" t="str">
        <x:v>ARC-0071</x:v>
      </x:c>
      <x:c r="B230" s="31" t="str">
        <x:v>P2</x:v>
      </x:c>
      <x:c r="C230" s="31" t="str">
        <x:v>Arcane Universal Fallout</x:v>
      </x:c>
      <x:c r="D230" s="31" t="str">
        <x:v>Arcane Universal Fallout</x:v>
      </x:c>
      <x:c r="E230" s="31" t="str">
        <x:v>unique_name</x:v>
      </x:c>
      <x:c r="F230" s="62" t="str"/>
      <x:c r="G230" s="62" t="str">
        <x:v>/Lotus/Upgrades/CosmeticEnhancers/Utility/AbilityRadiationProcsCreateUniversalOrbsOnKill</x:v>
      </x:c>
      <x:c r="H230" s="62" t="str">
        <x:v>reason=MISSING_OR_DIFFERENT_STABLE_ID</x:v>
      </x:c>
      <x:c r="I230" s="62" t="str">
        <x:v>NOT_REVIEWED</x:v>
      </x:c>
      <x:c r="J230" s="62" t="str"/>
    </x:row>
    <x:row r="231">
      <x:c r="A231" s="31" t="str">
        <x:v>ARC-0071</x:v>
      </x:c>
      <x:c r="B231" s="31" t="str">
        <x:v>P2</x:v>
      </x:c>
      <x:c r="C231" s="31" t="str">
        <x:v>Arcane Universal Fallout</x:v>
      </x:c>
      <x:c r="D231" s="31" t="str">
        <x:v>Arcane Universal Fallout</x:v>
      </x:c>
      <x:c r="E231" s="31" t="str">
        <x:v>equipment_type</x:v>
      </x:c>
      <x:c r="F231" s="62" t="str"/>
      <x:c r="G231" s="62" t="str">
        <x:v>Warframe Arcane</x:v>
      </x:c>
      <x:c r="H231" s="62" t="str">
        <x:v>legacy_subcategory=; reason=EQUIPMENT_COMPATIBILITY_IS_SEPARATE_FROM_LEGACY_SUBCATEGORY</x:v>
      </x:c>
      <x:c r="I231" s="62" t="str">
        <x:v>NOT_REVIEWED</x:v>
      </x:c>
      <x:c r="J231" s="62" t="str"/>
    </x:row>
    <x:row r="232">
      <x:c r="A232" s="31" t="str">
        <x:v>ARC-0071</x:v>
      </x:c>
      <x:c r="B232" s="31" t="str">
        <x:v>P2</x:v>
      </x:c>
      <x:c r="C232" s="31" t="str">
        <x:v>Arcane Universal Fallout</x:v>
      </x:c>
      <x:c r="D232" s="31" t="str">
        <x:v>Arcane Universal Fallout</x:v>
      </x:c>
      <x:c r="E232" s="31" t="str">
        <x:v>introduced_update</x:v>
      </x:c>
      <x:c r="F232" s="62" t="str"/>
      <x:c r="G232" s="62" t="str">
        <x:v>Update 38.5</x:v>
      </x:c>
      <x:c r="H232" s="62" t="str"/>
      <x:c r="I232" s="62" t="str">
        <x:v>NOT_REVIEWED</x:v>
      </x:c>
      <x:c r="J232" s="62" t="str"/>
    </x:row>
    <x:row r="233">
      <x:c r="A233" s="31" t="str">
        <x:v>ARC-0071</x:v>
      </x:c>
      <x:c r="B233" s="31" t="str">
        <x:v>P2</x:v>
      </x:c>
      <x:c r="C233" s="31" t="str">
        <x:v>Arcane Universal Fallout</x:v>
      </x:c>
      <x:c r="D233" s="31" t="str">
        <x:v>Arcane Universal Fallout</x:v>
      </x:c>
      <x:c r="E233" s="31" t="str">
        <x:v>effect_text</x:v>
      </x:c>
      <x:c r="F233" s="62" t="str"/>
      <x:c r="G233" s="62" t="str">
        <x:v>Each &lt;DT_RADIATION_COLOR&gt;Radiation Status Effect inflicted on enemies by Abilities gives a 6% chance to drop a Universal Orb on enemy death.\n+1 Arcane Revive
+1 Arcane Revive</x:v>
      </x:c>
      <x:c r="H233" s="62" t="str">
        <x:v>comparison=HEURISTIC_TEXT_ONLY</x:v>
      </x:c>
      <x:c r="I233" s="62" t="str">
        <x:v>NOT_REVIEWED</x:v>
      </x:c>
      <x:c r="J233" s="62" t="str"/>
    </x:row>
    <x:row r="234">
      <x:c r="A234" s="31" t="str">
        <x:v>ARC-0072</x:v>
      </x:c>
      <x:c r="B234" s="31" t="str">
        <x:v>P2</x:v>
      </x:c>
      <x:c r="C234" s="31" t="str">
        <x:v>Arcane Velocity</x:v>
      </x:c>
      <x:c r="D234" s="31" t="str">
        <x:v>Arcane Velocity</x:v>
      </x:c>
      <x:c r="E234" s="31" t="str">
        <x:v>unique_name</x:v>
      </x:c>
      <x:c r="F234" s="62" t="str"/>
      <x:c r="G234" s="62" t="str">
        <x:v>/Lotus/Upgrades/CosmeticEnhancers/Offensive/GolemArcanePistolSpeedOnCrit</x:v>
      </x:c>
      <x:c r="H234" s="62" t="str">
        <x:v>reason=MISSING_OR_DIFFERENT_STABLE_ID</x:v>
      </x:c>
      <x:c r="I234" s="62" t="str">
        <x:v>NOT_REVIEWED</x:v>
      </x:c>
      <x:c r="J234" s="62" t="str"/>
    </x:row>
    <x:row r="235">
      <x:c r="A235" s="31" t="str">
        <x:v>ARC-0072</x:v>
      </x:c>
      <x:c r="B235" s="31" t="str">
        <x:v>P2</x:v>
      </x:c>
      <x:c r="C235" s="31" t="str">
        <x:v>Arcane Velocity</x:v>
      </x:c>
      <x:c r="D235" s="31" t="str">
        <x:v>Arcane Velocity</x:v>
      </x:c>
      <x:c r="E235" s="31" t="str">
        <x:v>equipment_type</x:v>
      </x:c>
      <x:c r="F235" s="62" t="str"/>
      <x:c r="G235" s="62" t="str">
        <x:v>Warframe Arcane</x:v>
      </x:c>
      <x:c r="H235" s="62" t="str">
        <x:v>legacy_subcategory=Eidolon; reason=EQUIPMENT_COMPATIBILITY_IS_SEPARATE_FROM_LEGACY_SUBCATEGORY</x:v>
      </x:c>
      <x:c r="I235" s="62" t="str">
        <x:v>NOT_REVIEWED</x:v>
      </x:c>
      <x:c r="J235" s="62" t="str"/>
    </x:row>
    <x:row r="236">
      <x:c r="A236" s="31" t="str">
        <x:v>ARC-0072</x:v>
      </x:c>
      <x:c r="B236" s="31" t="str">
        <x:v>P2</x:v>
      </x:c>
      <x:c r="C236" s="31" t="str">
        <x:v>Arcane Velocity</x:v>
      </x:c>
      <x:c r="D236" s="31" t="str">
        <x:v>Arcane Velocity</x:v>
      </x:c>
      <x:c r="E236" s="31" t="str">
        <x:v>introduced_update</x:v>
      </x:c>
      <x:c r="F236" s="62" t="str">
        <x:v>22.14</x:v>
      </x:c>
      <x:c r="G236" s="62" t="str">
        <x:v>Update 17.9.1</x:v>
      </x:c>
      <x:c r="H236" s="62" t="str"/>
      <x:c r="I236" s="62" t="str">
        <x:v>NOT_REVIEWED</x:v>
      </x:c>
      <x:c r="J236" s="62" t="str"/>
    </x:row>
    <x:row r="237">
      <x:c r="A237" s="31" t="str">
        <x:v>ARC-0072</x:v>
      </x:c>
      <x:c r="B237" s="31" t="str">
        <x:v>P2</x:v>
      </x:c>
      <x:c r="C237" s="31" t="str">
        <x:v>Arcane Velocity</x:v>
      </x:c>
      <x:c r="D237" s="31" t="str">
        <x:v>Arcane Velocity</x:v>
      </x:c>
      <x:c r="E237" s="31" t="str">
        <x:v>effect_text</x:v>
      </x:c>
      <x:c r="F237" s="62" t="str">
        <x:v>+60% Fire Rate for Secondaries for 6s</x:v>
      </x:c>
      <x:c r="G237" s="62" t="str">
        <x:v>On Critical Hit:\n90% chance for +120% Fire Rate to Pistols for 9s\n+1 Arcane Revive
+1 Arcane Revive</x:v>
      </x:c>
      <x:c r="H237" s="62" t="str">
        <x:v>comparison=HEURISTIC_TEXT_ONLY</x:v>
      </x:c>
      <x:c r="I237" s="62" t="str">
        <x:v>NOT_REVIEWED</x:v>
      </x:c>
      <x:c r="J237" s="62" t="str"/>
    </x:row>
    <x:row r="238">
      <x:c r="A238" s="31" t="str">
        <x:v>ARC-0073</x:v>
      </x:c>
      <x:c r="B238" s="31" t="str">
        <x:v>P2</x:v>
      </x:c>
      <x:c r="C238" s="31" t="str">
        <x:v>Arcane Victory</x:v>
      </x:c>
      <x:c r="D238" s="31" t="str">
        <x:v>Arcane Victory</x:v>
      </x:c>
      <x:c r="E238" s="31" t="str">
        <x:v>unique_name</x:v>
      </x:c>
      <x:c r="F238" s="62" t="str"/>
      <x:c r="G238" s="62" t="str">
        <x:v>/Lotus/Upgrades/CosmeticEnhancers/Offensive/HealthRegenOnHeadshot</x:v>
      </x:c>
      <x:c r="H238" s="62" t="str">
        <x:v>reason=MISSING_OR_DIFFERENT_STABLE_ID</x:v>
      </x:c>
      <x:c r="I238" s="62" t="str">
        <x:v>NOT_REVIEWED</x:v>
      </x:c>
      <x:c r="J238" s="62" t="str"/>
    </x:row>
    <x:row r="239">
      <x:c r="A239" s="31" t="str">
        <x:v>ARC-0073</x:v>
      </x:c>
      <x:c r="B239" s="31" t="str">
        <x:v>P2</x:v>
      </x:c>
      <x:c r="C239" s="31" t="str">
        <x:v>Arcane Victory</x:v>
      </x:c>
      <x:c r="D239" s="31" t="str">
        <x:v>Arcane Victory</x:v>
      </x:c>
      <x:c r="E239" s="31" t="str">
        <x:v>equipment_type</x:v>
      </x:c>
      <x:c r="F239" s="62" t="str"/>
      <x:c r="G239" s="62" t="str">
        <x:v>Warframe Arcane</x:v>
      </x:c>
      <x:c r="H239" s="62" t="str">
        <x:v>legacy_subcategory=; reason=EQUIPMENT_COMPATIBILITY_IS_SEPARATE_FROM_LEGACY_SUBCATEGORY</x:v>
      </x:c>
      <x:c r="I239" s="62" t="str">
        <x:v>NOT_REVIEWED</x:v>
      </x:c>
      <x:c r="J239" s="62" t="str"/>
    </x:row>
    <x:row r="240">
      <x:c r="A240" s="31" t="str">
        <x:v>ARC-0073</x:v>
      </x:c>
      <x:c r="B240" s="31" t="str">
        <x:v>P2</x:v>
      </x:c>
      <x:c r="C240" s="31" t="str">
        <x:v>Arcane Victory</x:v>
      </x:c>
      <x:c r="D240" s="31" t="str">
        <x:v>Arcane Victory</x:v>
      </x:c>
      <x:c r="E240" s="31" t="str">
        <x:v>introduced_update</x:v>
      </x:c>
      <x:c r="F240" s="62" t="str"/>
      <x:c r="G240" s="62" t="str">
        <x:v>Update 16.0</x:v>
      </x:c>
      <x:c r="H240" s="62" t="str"/>
      <x:c r="I240" s="62" t="str">
        <x:v>NOT_REVIEWED</x:v>
      </x:c>
      <x:c r="J240" s="62" t="str"/>
    </x:row>
    <x:row r="241">
      <x:c r="A241" s="31" t="str">
        <x:v>ARC-0073</x:v>
      </x:c>
      <x:c r="B241" s="31" t="str">
        <x:v>P2</x:v>
      </x:c>
      <x:c r="C241" s="31" t="str">
        <x:v>Arcane Victory</x:v>
      </x:c>
      <x:c r="D241" s="31" t="str">
        <x:v>Arcane Victory</x:v>
      </x:c>
      <x:c r="E241" s="31" t="str">
        <x:v>tradable</x:v>
      </x:c>
      <x:c r="F241" s="62" t="str">
        <x:v>false</x:v>
      </x:c>
      <x:c r="G241" s="62" t="str">
        <x:v>true</x:v>
      </x:c>
      <x:c r="H241" s="62" t="str"/>
      <x:c r="I241" s="62" t="str">
        <x:v>NOT_REVIEWED</x:v>
      </x:c>
      <x:c r="J241" s="62" t="str"/>
    </x:row>
    <x:row r="242">
      <x:c r="A242" s="31" t="str">
        <x:v>ARC-0073</x:v>
      </x:c>
      <x:c r="B242" s="31" t="str">
        <x:v>P2</x:v>
      </x:c>
      <x:c r="C242" s="31" t="str">
        <x:v>Arcane Victory</x:v>
      </x:c>
      <x:c r="D242" s="31" t="str">
        <x:v>Arcane Victory</x:v>
      </x:c>
      <x:c r="E242" s="31" t="str">
        <x:v>effect_text</x:v>
      </x:c>
      <x:c r="F242" s="62" t="str"/>
      <x:c r="G242" s="62" t="str">
        <x:v>On Headshot Kill:\n75% chance for +3% Health Regeneration/s for 9s\n+1 Arcane Revive
+1 Arcane Revive</x:v>
      </x:c>
      <x:c r="H242" s="62" t="str">
        <x:v>comparison=HEURISTIC_TEXT_ONLY</x:v>
      </x:c>
      <x:c r="I242" s="62" t="str">
        <x:v>NOT_REVIEWED</x:v>
      </x:c>
      <x:c r="J242" s="62" t="str"/>
    </x:row>
    <x:row r="243">
      <x:c r="A243" s="31" t="str">
        <x:v>ARC-0074</x:v>
      </x:c>
      <x:c r="B243" s="31" t="str">
        <x:v>P2</x:v>
      </x:c>
      <x:c r="C243" s="31" t="str">
        <x:v>Arcane Warmth</x:v>
      </x:c>
      <x:c r="D243" s="31" t="str">
        <x:v>Arcane Warmth</x:v>
      </x:c>
      <x:c r="E243" s="31" t="str">
        <x:v>unique_name</x:v>
      </x:c>
      <x:c r="F243" s="62" t="str"/>
      <x:c r="G243" s="62" t="str">
        <x:v>/Lotus/Upgrades/CosmeticEnhancers/Defensive/FreezeProcResist</x:v>
      </x:c>
      <x:c r="H243" s="62" t="str">
        <x:v>reason=MISSING_OR_DIFFERENT_STABLE_ID</x:v>
      </x:c>
      <x:c r="I243" s="62" t="str">
        <x:v>NOT_REVIEWED</x:v>
      </x:c>
      <x:c r="J243" s="62" t="str"/>
    </x:row>
    <x:row r="244">
      <x:c r="A244" s="31" t="str">
        <x:v>ARC-0074</x:v>
      </x:c>
      <x:c r="B244" s="31" t="str">
        <x:v>P2</x:v>
      </x:c>
      <x:c r="C244" s="31" t="str">
        <x:v>Arcane Warmth</x:v>
      </x:c>
      <x:c r="D244" s="31" t="str">
        <x:v>Arcane Warmth</x:v>
      </x:c>
      <x:c r="E244" s="31" t="str">
        <x:v>equipment_type</x:v>
      </x:c>
      <x:c r="F244" s="62" t="str"/>
      <x:c r="G244" s="62" t="str">
        <x:v>Warframe Arcane</x:v>
      </x:c>
      <x:c r="H244" s="62" t="str">
        <x:v>legacy_subcategory=Eidolon; reason=EQUIPMENT_COMPATIBILITY_IS_SEPARATE_FROM_LEGACY_SUBCATEGORY</x:v>
      </x:c>
      <x:c r="I244" s="62" t="str">
        <x:v>NOT_REVIEWED</x:v>
      </x:c>
      <x:c r="J244" s="62" t="str"/>
    </x:row>
    <x:row r="245">
      <x:c r="A245" s="31" t="str">
        <x:v>ARC-0074</x:v>
      </x:c>
      <x:c r="B245" s="31" t="str">
        <x:v>P2</x:v>
      </x:c>
      <x:c r="C245" s="31" t="str">
        <x:v>Arcane Warmth</x:v>
      </x:c>
      <x:c r="D245" s="31" t="str">
        <x:v>Arcane Warmth</x:v>
      </x:c>
      <x:c r="E245" s="31" t="str">
        <x:v>introduced_update</x:v>
      </x:c>
      <x:c r="F245" s="62" t="str">
        <x:v>22.14</x:v>
      </x:c>
      <x:c r="G245" s="62" t="str">
        <x:v>Update 16.0</x:v>
      </x:c>
      <x:c r="H245" s="62" t="str"/>
      <x:c r="I245" s="62" t="str">
        <x:v>NOT_REVIEWED</x:v>
      </x:c>
      <x:c r="J245" s="62" t="str"/>
    </x:row>
    <x:row r="246">
      <x:c r="A246" s="31" t="str">
        <x:v>ARC-0074</x:v>
      </x:c>
      <x:c r="B246" s="31" t="str">
        <x:v>P2</x:v>
      </x:c>
      <x:c r="C246" s="31" t="str">
        <x:v>Arcane Warmth</x:v>
      </x:c>
      <x:c r="D246" s="31" t="str">
        <x:v>Arcane Warmth</x:v>
      </x:c>
      <x:c r="E246" s="31" t="str">
        <x:v>effect_text</x:v>
      </x:c>
      <x:c r="F246" s="62" t="str">
        <x:v>60% chance to negate a Cold Status proc</x:v>
      </x:c>
      <x:c r="G246" s="62" t="str">
        <x:v>+102% chance to resist a &lt;DT_FREEZE_COLOR&gt;Cold Status effect.
+1 Arcane Revive</x:v>
      </x:c>
      <x:c r="H246" s="62" t="str">
        <x:v>comparison=HEURISTIC_TEXT_ONLY</x:v>
      </x:c>
      <x:c r="I246" s="62" t="str">
        <x:v>NOT_REVIEWED</x:v>
      </x:c>
      <x:c r="J246" s="62" t="str"/>
    </x:row>
    <x:row r="247">
      <x:c r="A247" s="31" t="str">
        <x:v>ARC-0075</x:v>
      </x:c>
      <x:c r="B247" s="31" t="str">
        <x:v>P2</x:v>
      </x:c>
      <x:c r="C247" s="31" t="str">
        <x:v>Cascadia Accuracy</x:v>
      </x:c>
      <x:c r="D247" s="31" t="str">
        <x:v>Cascadia Accuracy</x:v>
      </x:c>
      <x:c r="E247" s="31" t="str">
        <x:v>unique_name</x:v>
      </x:c>
      <x:c r="F247" s="62" t="str"/>
      <x:c r="G247" s="62" t="str">
        <x:v>/Lotus/Upgrades/CosmeticEnhancers/Zariman/SecondaryOnRollCritChanceOnHeadshot</x:v>
      </x:c>
      <x:c r="H247" s="62" t="str">
        <x:v>reason=MISSING_OR_DIFFERENT_STABLE_ID</x:v>
      </x:c>
      <x:c r="I247" s="62" t="str">
        <x:v>NOT_REVIEWED</x:v>
      </x:c>
      <x:c r="J247" s="62" t="str"/>
    </x:row>
    <x:row r="248">
      <x:c r="A248" s="31" t="str">
        <x:v>ARC-0075</x:v>
      </x:c>
      <x:c r="B248" s="31" t="str">
        <x:v>P2</x:v>
      </x:c>
      <x:c r="C248" s="31" t="str">
        <x:v>Cascadia Accuracy</x:v>
      </x:c>
      <x:c r="D248" s="31" t="str">
        <x:v>Cascadia Accuracy</x:v>
      </x:c>
      <x:c r="E248" s="31" t="str">
        <x:v>equipment_type</x:v>
      </x:c>
      <x:c r="F248" s="62" t="str"/>
      <x:c r="G248" s="62" t="str">
        <x:v>Secondary Arcane</x:v>
      </x:c>
      <x:c r="H248" s="62" t="str">
        <x:v>legacy_subcategory=Cascadia; reason=EQUIPMENT_COMPATIBILITY_IS_SEPARATE_FROM_LEGACY_SUBCATEGORY</x:v>
      </x:c>
      <x:c r="I248" s="62" t="str">
        <x:v>NOT_REVIEWED</x:v>
      </x:c>
      <x:c r="J248" s="62" t="str"/>
    </x:row>
    <x:row r="249">
      <x:c r="A249" s="31" t="str">
        <x:v>ARC-0075</x:v>
      </x:c>
      <x:c r="B249" s="31" t="str">
        <x:v>P2</x:v>
      </x:c>
      <x:c r="C249" s="31" t="str">
        <x:v>Cascadia Accuracy</x:v>
      </x:c>
      <x:c r="D249" s="31" t="str">
        <x:v>Cascadia Accuracy</x:v>
      </x:c>
      <x:c r="E249" s="31" t="str">
        <x:v>introduced_update</x:v>
      </x:c>
      <x:c r="F249" s="62" t="str">
        <x:v>31.5</x:v>
      </x:c>
      <x:c r="G249" s="62" t="str">
        <x:v>Update 31.5</x:v>
      </x:c>
      <x:c r="H249" s="62" t="str"/>
      <x:c r="I249" s="62" t="str">
        <x:v>NOT_REVIEWED</x:v>
      </x:c>
      <x:c r="J249" s="62" t="str"/>
    </x:row>
    <x:row r="250">
      <x:c r="A250" s="31" t="str">
        <x:v>ARC-0075</x:v>
      </x:c>
      <x:c r="B250" s="31" t="str">
        <x:v>P2</x:v>
      </x:c>
      <x:c r="C250" s="31" t="str">
        <x:v>Cascadia Accuracy</x:v>
      </x:c>
      <x:c r="D250" s="31" t="str">
        <x:v>Cascadia Accuracy</x:v>
      </x:c>
      <x:c r="E250" s="31" t="str">
        <x:v>effect_text</x:v>
      </x:c>
      <x:c r="F250" s="62" t="str">
        <x:v>+60% Secondary Status Chance for 12s</x:v>
      </x:c>
      <x:c r="G250" s="62" t="str">
        <x:v>On Roll:\n+300% Critical Chance on Weakpoint Hits for 4s</x:v>
      </x:c>
      <x:c r="H250" s="62" t="str">
        <x:v>comparison=HEURISTIC_TEXT_ONLY</x:v>
      </x:c>
      <x:c r="I250" s="62" t="str">
        <x:v>NOT_REVIEWED</x:v>
      </x:c>
      <x:c r="J250" s="62" t="str"/>
    </x:row>
    <x:row r="251">
      <x:c r="A251" s="31" t="str">
        <x:v>ARC-0076</x:v>
      </x:c>
      <x:c r="B251" s="31" t="str">
        <x:v>P2</x:v>
      </x:c>
      <x:c r="C251" s="31" t="str">
        <x:v>Cascadia Empowered</x:v>
      </x:c>
      <x:c r="D251" s="31" t="str">
        <x:v>Cascadia Empowered</x:v>
      </x:c>
      <x:c r="E251" s="31" t="str">
        <x:v>unique_name</x:v>
      </x:c>
      <x:c r="F251" s="62" t="str"/>
      <x:c r="G251" s="62" t="str">
        <x:v>/Lotus/Upgrades/CosmeticEnhancers/Zariman/SecondaryOnStatusProcBonusDamage</x:v>
      </x:c>
      <x:c r="H251" s="62" t="str">
        <x:v>reason=MISSING_OR_DIFFERENT_STABLE_ID</x:v>
      </x:c>
      <x:c r="I251" s="62" t="str">
        <x:v>NOT_REVIEWED</x:v>
      </x:c>
      <x:c r="J251" s="62" t="str"/>
    </x:row>
    <x:row r="252">
      <x:c r="A252" s="31" t="str">
        <x:v>ARC-0076</x:v>
      </x:c>
      <x:c r="B252" s="31" t="str">
        <x:v>P2</x:v>
      </x:c>
      <x:c r="C252" s="31" t="str">
        <x:v>Cascadia Empowered</x:v>
      </x:c>
      <x:c r="D252" s="31" t="str">
        <x:v>Cascadia Empowered</x:v>
      </x:c>
      <x:c r="E252" s="31" t="str">
        <x:v>equipment_type</x:v>
      </x:c>
      <x:c r="F252" s="62" t="str"/>
      <x:c r="G252" s="62" t="str">
        <x:v>Secondary Arcane</x:v>
      </x:c>
      <x:c r="H252" s="62" t="str">
        <x:v>legacy_subcategory=Cascadia; reason=EQUIPMENT_COMPATIBILITY_IS_SEPARATE_FROM_LEGACY_SUBCATEGORY</x:v>
      </x:c>
      <x:c r="I252" s="62" t="str">
        <x:v>NOT_REVIEWED</x:v>
      </x:c>
      <x:c r="J252" s="62" t="str"/>
    </x:row>
    <x:row r="253">
      <x:c r="A253" s="31" t="str">
        <x:v>ARC-0076</x:v>
      </x:c>
      <x:c r="B253" s="31" t="str">
        <x:v>P2</x:v>
      </x:c>
      <x:c r="C253" s="31" t="str">
        <x:v>Cascadia Empowered</x:v>
      </x:c>
      <x:c r="D253" s="31" t="str">
        <x:v>Cascadia Empowered</x:v>
      </x:c>
      <x:c r="E253" s="31" t="str">
        <x:v>introduced_update</x:v>
      </x:c>
      <x:c r="F253" s="62" t="str">
        <x:v>31.5</x:v>
      </x:c>
      <x:c r="G253" s="62" t="str">
        <x:v>Update 31.5</x:v>
      </x:c>
      <x:c r="H253" s="62" t="str"/>
      <x:c r="I253" s="62" t="str">
        <x:v>NOT_REVIEWED</x:v>
      </x:c>
      <x:c r="J253" s="62" t="str"/>
    </x:row>
    <x:row r="254">
      <x:c r="A254" s="31" t="str">
        <x:v>ARC-0076</x:v>
      </x:c>
      <x:c r="B254" s="31" t="str">
        <x:v>P2</x:v>
      </x:c>
      <x:c r="C254" s="31" t="str">
        <x:v>Cascadia Empowered</x:v>
      </x:c>
      <x:c r="D254" s="31" t="str">
        <x:v>Cascadia Empowered</x:v>
      </x:c>
      <x:c r="E254" s="31" t="str">
        <x:v>effect_text</x:v>
      </x:c>
      <x:c r="F254" s="62" t="str">
        <x:v>+150% Secondary Damage for 20s after Overguard kill</x:v>
      </x:c>
      <x:c r="G254" s="62" t="str">
        <x:v>On Status Effect:\nDeals +750 Damage matching the Damage Type of the Status Effect</x:v>
      </x:c>
      <x:c r="H254" s="62" t="str">
        <x:v>comparison=HEURISTIC_TEXT_ONLY</x:v>
      </x:c>
      <x:c r="I254" s="62" t="str">
        <x:v>NOT_REVIEWED</x:v>
      </x:c>
      <x:c r="J254" s="62" t="str"/>
    </x:row>
    <x:row r="255">
      <x:c r="A255" s="31" t="str">
        <x:v>ARC-0077</x:v>
      </x:c>
      <x:c r="B255" s="31" t="str">
        <x:v>P2</x:v>
      </x:c>
      <x:c r="C255" s="31" t="str">
        <x:v>Cascadia Flare</x:v>
      </x:c>
      <x:c r="D255" s="31" t="str">
        <x:v>Cascadia Flare</x:v>
      </x:c>
      <x:c r="E255" s="31" t="str">
        <x:v>unique_name</x:v>
      </x:c>
      <x:c r="F255" s="62" t="str"/>
      <x:c r="G255" s="62" t="str">
        <x:v>/Lotus/Upgrades/CosmeticEnhancers/Offensive/SecondaryDamageOnHeatProc</x:v>
      </x:c>
      <x:c r="H255" s="62" t="str">
        <x:v>reason=MISSING_OR_DIFFERENT_STABLE_ID</x:v>
      </x:c>
      <x:c r="I255" s="62" t="str">
        <x:v>NOT_REVIEWED</x:v>
      </x:c>
      <x:c r="J255" s="62" t="str"/>
    </x:row>
    <x:row r="256">
      <x:c r="A256" s="31" t="str">
        <x:v>ARC-0077</x:v>
      </x:c>
      <x:c r="B256" s="31" t="str">
        <x:v>P2</x:v>
      </x:c>
      <x:c r="C256" s="31" t="str">
        <x:v>Cascadia Flare</x:v>
      </x:c>
      <x:c r="D256" s="31" t="str">
        <x:v>Cascadia Flare</x:v>
      </x:c>
      <x:c r="E256" s="31" t="str">
        <x:v>equipment_type</x:v>
      </x:c>
      <x:c r="F256" s="62" t="str"/>
      <x:c r="G256" s="62" t="str">
        <x:v>Secondary Arcane</x:v>
      </x:c>
      <x:c r="H256" s="62" t="str">
        <x:v>legacy_subcategory=Cascadia; reason=EQUIPMENT_COMPATIBILITY_IS_SEPARATE_FROM_LEGACY_SUBCATEGORY</x:v>
      </x:c>
      <x:c r="I256" s="62" t="str">
        <x:v>NOT_REVIEWED</x:v>
      </x:c>
      <x:c r="J256" s="62" t="str"/>
    </x:row>
    <x:row r="257">
      <x:c r="A257" s="31" t="str">
        <x:v>ARC-0077</x:v>
      </x:c>
      <x:c r="B257" s="31" t="str">
        <x:v>P2</x:v>
      </x:c>
      <x:c r="C257" s="31" t="str">
        <x:v>Cascadia Flare</x:v>
      </x:c>
      <x:c r="D257" s="31" t="str">
        <x:v>Cascadia Flare</x:v>
      </x:c>
      <x:c r="E257" s="31" t="str">
        <x:v>introduced_update</x:v>
      </x:c>
      <x:c r="F257" s="62" t="str">
        <x:v>31.5</x:v>
      </x:c>
      <x:c r="G257" s="62" t="str">
        <x:v>Update 31.6</x:v>
      </x:c>
      <x:c r="H257" s="62" t="str"/>
      <x:c r="I257" s="62" t="str">
        <x:v>NOT_REVIEWED</x:v>
      </x:c>
      <x:c r="J257" s="62" t="str"/>
    </x:row>
    <x:row r="258">
      <x:c r="A258" s="31" t="str">
        <x:v>ARC-0077</x:v>
      </x:c>
      <x:c r="B258" s="31" t="str">
        <x:v>P2</x:v>
      </x:c>
      <x:c r="C258" s="31" t="str">
        <x:v>Cascadia Flare</x:v>
      </x:c>
      <x:c r="D258" s="31" t="str">
        <x:v>Cascadia Flare</x:v>
      </x:c>
      <x:c r="E258" s="31" t="str">
        <x:v>effect_text</x:v>
      </x:c>
      <x:c r="F258" s="62" t="str">
        <x:v>+60% Secondary Heat Damage for 12s</x:v>
      </x:c>
      <x:c r="G258" s="62" t="str">
        <x:v>On &lt;DT_FIRE_COLOR&gt;Heat Status Effect:\n+12% Damage for 10s. Stacks up to 480%.</x:v>
      </x:c>
      <x:c r="H258" s="62" t="str">
        <x:v>comparison=HEURISTIC_TEXT_ONLY</x:v>
      </x:c>
      <x:c r="I258" s="62" t="str">
        <x:v>NOT_REVIEWED</x:v>
      </x:c>
      <x:c r="J258" s="62" t="str"/>
    </x:row>
    <x:row r="259">
      <x:c r="A259" s="31" t="str">
        <x:v>ARC-0078</x:v>
      </x:c>
      <x:c r="B259" s="31" t="str">
        <x:v>P2</x:v>
      </x:c>
      <x:c r="C259" s="31" t="str">
        <x:v>Cascadia Overcharge</x:v>
      </x:c>
      <x:c r="D259" s="31" t="str">
        <x:v>Cascadia Overcharge</x:v>
      </x:c>
      <x:c r="E259" s="31" t="str">
        <x:v>unique_name</x:v>
      </x:c>
      <x:c r="F259" s="62" t="str"/>
      <x:c r="G259" s="62" t="str">
        <x:v>/Lotus/Upgrades/CosmeticEnhancers/Zariman/SecondaryOnOvershieldCritChance</x:v>
      </x:c>
      <x:c r="H259" s="62" t="str">
        <x:v>reason=MISSING_OR_DIFFERENT_STABLE_ID</x:v>
      </x:c>
      <x:c r="I259" s="62" t="str">
        <x:v>NOT_REVIEWED</x:v>
      </x:c>
      <x:c r="J259" s="62" t="str"/>
    </x:row>
    <x:row r="260">
      <x:c r="A260" s="31" t="str">
        <x:v>ARC-0078</x:v>
      </x:c>
      <x:c r="B260" s="31" t="str">
        <x:v>P2</x:v>
      </x:c>
      <x:c r="C260" s="31" t="str">
        <x:v>Cascadia Overcharge</x:v>
      </x:c>
      <x:c r="D260" s="31" t="str">
        <x:v>Cascadia Overcharge</x:v>
      </x:c>
      <x:c r="E260" s="31" t="str">
        <x:v>equipment_type</x:v>
      </x:c>
      <x:c r="F260" s="62" t="str"/>
      <x:c r="G260" s="62" t="str">
        <x:v>Secondary Arcane</x:v>
      </x:c>
      <x:c r="H260" s="62" t="str">
        <x:v>legacy_subcategory=Cascadia; reason=EQUIPMENT_COMPATIBILITY_IS_SEPARATE_FROM_LEGACY_SUBCATEGORY</x:v>
      </x:c>
      <x:c r="I260" s="62" t="str">
        <x:v>NOT_REVIEWED</x:v>
      </x:c>
      <x:c r="J260" s="62" t="str"/>
    </x:row>
    <x:row r="261">
      <x:c r="A261" s="31" t="str">
        <x:v>ARC-0078</x:v>
      </x:c>
      <x:c r="B261" s="31" t="str">
        <x:v>P2</x:v>
      </x:c>
      <x:c r="C261" s="31" t="str">
        <x:v>Cascadia Overcharge</x:v>
      </x:c>
      <x:c r="D261" s="31" t="str">
        <x:v>Cascadia Overcharge</x:v>
      </x:c>
      <x:c r="E261" s="31" t="str">
        <x:v>introduced_update</x:v>
      </x:c>
      <x:c r="F261" s="62" t="str">
        <x:v>31.5</x:v>
      </x:c>
      <x:c r="G261" s="62" t="str">
        <x:v>Update 31.5</x:v>
      </x:c>
      <x:c r="H261" s="62" t="str"/>
      <x:c r="I261" s="62" t="str">
        <x:v>NOT_REVIEWED</x:v>
      </x:c>
      <x:c r="J261" s="62" t="str"/>
    </x:row>
    <x:row r="262">
      <x:c r="A262" s="31" t="str">
        <x:v>ARC-0078</x:v>
      </x:c>
      <x:c r="B262" s="31" t="str">
        <x:v>P2</x:v>
      </x:c>
      <x:c r="C262" s="31" t="str">
        <x:v>Cascadia Overcharge</x:v>
      </x:c>
      <x:c r="D262" s="31" t="str">
        <x:v>Cascadia Overcharge</x:v>
      </x:c>
      <x:c r="E262" s="31" t="str">
        <x:v>effect_text</x:v>
      </x:c>
      <x:c r="F262" s="62" t="str">
        <x:v>+120% Secondary Damage while Overshields are active</x:v>
      </x:c>
      <x:c r="G262" s="62" t="str">
        <x:v>While Overshields Active: +300% Critical Chance</x:v>
      </x:c>
      <x:c r="H262" s="62" t="str">
        <x:v>comparison=HEURISTIC_TEXT_ONLY</x:v>
      </x:c>
      <x:c r="I262" s="62" t="str">
        <x:v>NOT_REVIEWED</x:v>
      </x:c>
      <x:c r="J262" s="62" t="str"/>
    </x:row>
    <x:row r="263">
      <x:c r="A263" s="31" t="str">
        <x:v>ARC-0079</x:v>
      </x:c>
      <x:c r="B263" s="31" t="str">
        <x:v>P2</x:v>
      </x:c>
      <x:c r="C263" s="31" t="str">
        <x:v>Conjunction Voltage</x:v>
      </x:c>
      <x:c r="D263" s="31" t="str">
        <x:v>Conjunction Voltage</x:v>
      </x:c>
      <x:c r="E263" s="31" t="str">
        <x:v>unique_name</x:v>
      </x:c>
      <x:c r="F263" s="62" t="str"/>
      <x:c r="G263" s="62" t="str">
        <x:v>/Lotus/Upgrades/CosmeticEnhancers/Offensive/SecondaryReloadSpeedAndMultishotOnElectricProc</x:v>
      </x:c>
      <x:c r="H263" s="62" t="str">
        <x:v>reason=MISSING_OR_DIFFERENT_STABLE_ID</x:v>
      </x:c>
      <x:c r="I263" s="62" t="str">
        <x:v>NOT_REVIEWED</x:v>
      </x:c>
      <x:c r="J263" s="62" t="str"/>
    </x:row>
    <x:row r="264">
      <x:c r="A264" s="31" t="str">
        <x:v>ARC-0079</x:v>
      </x:c>
      <x:c r="B264" s="31" t="str">
        <x:v>P2</x:v>
      </x:c>
      <x:c r="C264" s="31" t="str">
        <x:v>Conjunction Voltage</x:v>
      </x:c>
      <x:c r="D264" s="31" t="str">
        <x:v>Conjunction Voltage</x:v>
      </x:c>
      <x:c r="E264" s="31" t="str">
        <x:v>equipment_type</x:v>
      </x:c>
      <x:c r="F264" s="62" t="str"/>
      <x:c r="G264" s="62" t="str">
        <x:v>Secondary Arcane</x:v>
      </x:c>
      <x:c r="H264" s="62" t="str">
        <x:v>legacy_subcategory=Conjunction; reason=EQUIPMENT_COMPATIBILITY_IS_SEPARATE_FROM_LEGACY_SUBCATEGORY</x:v>
      </x:c>
      <x:c r="I264" s="62" t="str">
        <x:v>NOT_REVIEWED</x:v>
      </x:c>
      <x:c r="J264" s="62" t="str"/>
    </x:row>
    <x:row r="265">
      <x:c r="A265" s="31" t="str">
        <x:v>ARC-0079</x:v>
      </x:c>
      <x:c r="B265" s="31" t="str">
        <x:v>P2</x:v>
      </x:c>
      <x:c r="C265" s="31" t="str">
        <x:v>Conjunction Voltage</x:v>
      </x:c>
      <x:c r="D265" s="31" t="str">
        <x:v>Conjunction Voltage</x:v>
      </x:c>
      <x:c r="E265" s="31" t="str">
        <x:v>introduced_update</x:v>
      </x:c>
      <x:c r="F265" s="62" t="str">
        <x:v>32.2</x:v>
      </x:c>
      <x:c r="G265" s="62" t="str">
        <x:v>Update 32.2</x:v>
      </x:c>
      <x:c r="H265" s="62" t="str"/>
      <x:c r="I265" s="62" t="str">
        <x:v>NOT_REVIEWED</x:v>
      </x:c>
      <x:c r="J265" s="62" t="str"/>
    </x:row>
    <x:row r="266">
      <x:c r="A266" s="31" t="str">
        <x:v>ARC-0079</x:v>
      </x:c>
      <x:c r="B266" s="31" t="str">
        <x:v>P2</x:v>
      </x:c>
      <x:c r="C266" s="31" t="str">
        <x:v>Conjunction Voltage</x:v>
      </x:c>
      <x:c r="D266" s="31" t="str">
        <x:v>Conjunction Voltage</x:v>
      </x:c>
      <x:c r="E266" s="31" t="str">
        <x:v>effect_text</x:v>
      </x:c>
      <x:c r="F266" s="62" t="str">
        <x:v>Chaining Secondary kills grants escalating Electricity bonus</x:v>
      </x:c>
      <x:c r="G266" s="62" t="str">
        <x:v>On &lt;DT_ELECTRICITY_COLOR&gt;Electricity Status Effect:\n+1.5% Reload Speed and +3% Multishot for 12s. Stacks up to 40x.</x:v>
      </x:c>
      <x:c r="H266" s="62" t="str">
        <x:v>comparison=HEURISTIC_TEXT_ONLY</x:v>
      </x:c>
      <x:c r="I266" s="62" t="str">
        <x:v>NOT_REVIEWED</x:v>
      </x:c>
      <x:c r="J266" s="62" t="str"/>
    </x:row>
    <x:row r="267">
      <x:c r="A267" s="31" t="str">
        <x:v>ARC-0080</x:v>
      </x:c>
      <x:c r="B267" s="31" t="str">
        <x:v>P2</x:v>
      </x:c>
      <x:c r="C267" s="31" t="str">
        <x:v>Emergence Dissipate</x:v>
      </x:c>
      <x:c r="D267" s="31" t="str">
        <x:v>Emergence Dissipate</x:v>
      </x:c>
      <x:c r="E267" s="31" t="str">
        <x:v>unique_name</x:v>
      </x:c>
      <x:c r="F267" s="62" t="str"/>
      <x:c r="G267" s="62" t="str">
        <x:v>/Lotus/Upgrades/CosmeticEnhancers/Zariman/EnergyOnGhostDissipate</x:v>
      </x:c>
      <x:c r="H267" s="62" t="str">
        <x:v>reason=MISSING_OR_DIFFERENT_STABLE_ID</x:v>
      </x:c>
      <x:c r="I267" s="62" t="str">
        <x:v>NOT_REVIEWED</x:v>
      </x:c>
      <x:c r="J267" s="62" t="str"/>
    </x:row>
    <x:row r="268">
      <x:c r="A268" s="31" t="str">
        <x:v>ARC-0080</x:v>
      </x:c>
      <x:c r="B268" s="31" t="str">
        <x:v>P2</x:v>
      </x:c>
      <x:c r="C268" s="31" t="str">
        <x:v>Emergence Dissipate</x:v>
      </x:c>
      <x:c r="D268" s="31" t="str">
        <x:v>Emergence Dissipate</x:v>
      </x:c>
      <x:c r="E268" s="31" t="str">
        <x:v>equipment_type</x:v>
      </x:c>
      <x:c r="F268" s="62" t="str"/>
      <x:c r="G268" s="62" t="str">
        <x:v>Operator Arcane</x:v>
      </x:c>
      <x:c r="H268" s="62" t="str">
        <x:v>legacy_subcategory=; reason=EQUIPMENT_COMPATIBILITY_IS_SEPARATE_FROM_LEGACY_SUBCATEGORY</x:v>
      </x:c>
      <x:c r="I268" s="62" t="str">
        <x:v>NOT_REVIEWED</x:v>
      </x:c>
      <x:c r="J268" s="62" t="str"/>
    </x:row>
    <x:row r="269">
      <x:c r="A269" s="31" t="str">
        <x:v>ARC-0080</x:v>
      </x:c>
      <x:c r="B269" s="31" t="str">
        <x:v>P2</x:v>
      </x:c>
      <x:c r="C269" s="31" t="str">
        <x:v>Emergence Dissipate</x:v>
      </x:c>
      <x:c r="D269" s="31" t="str">
        <x:v>Emergence Dissipate</x:v>
      </x:c>
      <x:c r="E269" s="31" t="str">
        <x:v>introduced_update</x:v>
      </x:c>
      <x:c r="F269" s="62" t="str"/>
      <x:c r="G269" s="62" t="str">
        <x:v>Update 31.5</x:v>
      </x:c>
      <x:c r="H269" s="62" t="str"/>
      <x:c r="I269" s="62" t="str">
        <x:v>NOT_REVIEWED</x:v>
      </x:c>
      <x:c r="J269" s="62" t="str"/>
    </x:row>
    <x:row r="270">
      <x:c r="A270" s="31" t="str">
        <x:v>ARC-0080</x:v>
      </x:c>
      <x:c r="B270" s="31" t="str">
        <x:v>P2</x:v>
      </x:c>
      <x:c r="C270" s="31" t="str">
        <x:v>Emergence Dissipate</x:v>
      </x:c>
      <x:c r="D270" s="31" t="str">
        <x:v>Emergence Dissipate</x:v>
      </x:c>
      <x:c r="E270" s="31" t="str">
        <x:v>effect_text</x:v>
      </x:c>
      <x:c r="F270" s="62" t="str"/>
      <x:c r="G270" s="62" t="str">
        <x:v>WHILE IN VOID SLING: Press &lt;PRE_ATTACK&gt; to dissipate the endpoint in a 10m radius. Enemies hit create a short lived Void Mote that replenishes 10 Energy on pick up.</x:v>
      </x:c>
      <x:c r="H270" s="62" t="str">
        <x:v>comparison=HEURISTIC_TEXT_ONLY</x:v>
      </x:c>
      <x:c r="I270" s="62" t="str">
        <x:v>NOT_REVIEWED</x:v>
      </x:c>
      <x:c r="J270" s="62" t="str"/>
    </x:row>
    <x:row r="271">
      <x:c r="A271" s="31" t="str">
        <x:v>ARC-0081</x:v>
      </x:c>
      <x:c r="B271" s="31" t="str">
        <x:v>P2</x:v>
      </x:c>
      <x:c r="C271" s="31" t="str">
        <x:v>Emergence Renewed</x:v>
      </x:c>
      <x:c r="D271" s="31" t="str">
        <x:v>Emergence Renewed</x:v>
      </x:c>
      <x:c r="E271" s="31" t="str">
        <x:v>unique_name</x:v>
      </x:c>
      <x:c r="F271" s="62" t="str"/>
      <x:c r="G271" s="62" t="str">
        <x:v>/Lotus/Upgrades/CosmeticEnhancers/Zariman/OperatorOnEnergyDepletedRegenEnergy</x:v>
      </x:c>
      <x:c r="H271" s="62" t="str">
        <x:v>reason=MISSING_OR_DIFFERENT_STABLE_ID</x:v>
      </x:c>
      <x:c r="I271" s="62" t="str">
        <x:v>NOT_REVIEWED</x:v>
      </x:c>
      <x:c r="J271" s="62" t="str"/>
    </x:row>
    <x:row r="272">
      <x:c r="A272" s="31" t="str">
        <x:v>ARC-0081</x:v>
      </x:c>
      <x:c r="B272" s="31" t="str">
        <x:v>P2</x:v>
      </x:c>
      <x:c r="C272" s="31" t="str">
        <x:v>Emergence Renewed</x:v>
      </x:c>
      <x:c r="D272" s="31" t="str">
        <x:v>Emergence Renewed</x:v>
      </x:c>
      <x:c r="E272" s="31" t="str">
        <x:v>equipment_type</x:v>
      </x:c>
      <x:c r="F272" s="62" t="str"/>
      <x:c r="G272" s="62" t="str">
        <x:v>Operator Arcane</x:v>
      </x:c>
      <x:c r="H272" s="62" t="str">
        <x:v>legacy_subcategory=; reason=EQUIPMENT_COMPATIBILITY_IS_SEPARATE_FROM_LEGACY_SUBCATEGORY</x:v>
      </x:c>
      <x:c r="I272" s="62" t="str">
        <x:v>NOT_REVIEWED</x:v>
      </x:c>
      <x:c r="J272" s="62" t="str"/>
    </x:row>
    <x:row r="273">
      <x:c r="A273" s="31" t="str">
        <x:v>ARC-0081</x:v>
      </x:c>
      <x:c r="B273" s="31" t="str">
        <x:v>P2</x:v>
      </x:c>
      <x:c r="C273" s="31" t="str">
        <x:v>Emergence Renewed</x:v>
      </x:c>
      <x:c r="D273" s="31" t="str">
        <x:v>Emergence Renewed</x:v>
      </x:c>
      <x:c r="E273" s="31" t="str">
        <x:v>introduced_update</x:v>
      </x:c>
      <x:c r="F273" s="62" t="str"/>
      <x:c r="G273" s="62" t="str">
        <x:v>Update 31.5</x:v>
      </x:c>
      <x:c r="H273" s="62" t="str"/>
      <x:c r="I273" s="62" t="str">
        <x:v>NOT_REVIEWED</x:v>
      </x:c>
      <x:c r="J273" s="62" t="str"/>
    </x:row>
    <x:row r="274">
      <x:c r="A274" s="31" t="str">
        <x:v>ARC-0081</x:v>
      </x:c>
      <x:c r="B274" s="31" t="str">
        <x:v>P2</x:v>
      </x:c>
      <x:c r="C274" s="31" t="str">
        <x:v>Emergence Renewed</x:v>
      </x:c>
      <x:c r="D274" s="31" t="str">
        <x:v>Emergence Renewed</x:v>
      </x:c>
      <x:c r="E274" s="31" t="str">
        <x:v>effect_text</x:v>
      </x:c>
      <x:c r="F274" s="62" t="str"/>
      <x:c r="G274" s="62" t="str">
        <x:v>On Energy Depleted:\nIncrease Energy Regeneration by 300% over 5s. Cooldown: 30s</x:v>
      </x:c>
      <x:c r="H274" s="62" t="str">
        <x:v>comparison=HEURISTIC_TEXT_ONLY</x:v>
      </x:c>
      <x:c r="I274" s="62" t="str">
        <x:v>NOT_REVIEWED</x:v>
      </x:c>
      <x:c r="J274" s="62" t="str"/>
    </x:row>
    <x:row r="275">
      <x:c r="A275" s="31" t="str">
        <x:v>ARC-0082</x:v>
      </x:c>
      <x:c r="B275" s="31" t="str">
        <x:v>P2</x:v>
      </x:c>
      <x:c r="C275" s="31" t="str">
        <x:v>Emergence Savior</x:v>
      </x:c>
      <x:c r="D275" s="31" t="str">
        <x:v>Emergence Savior</x:v>
      </x:c>
      <x:c r="E275" s="31" t="str">
        <x:v>unique_name</x:v>
      </x:c>
      <x:c r="F275" s="62" t="str"/>
      <x:c r="G275" s="62" t="str">
        <x:v>/Lotus/Upgrades/CosmeticEnhancers/Zariman/OperatorOnDeathInvulnerability</x:v>
      </x:c>
      <x:c r="H275" s="62" t="str">
        <x:v>reason=MISSING_OR_DIFFERENT_STABLE_ID</x:v>
      </x:c>
      <x:c r="I275" s="62" t="str">
        <x:v>NOT_REVIEWED</x:v>
      </x:c>
      <x:c r="J275" s="62" t="str"/>
    </x:row>
    <x:row r="276">
      <x:c r="A276" s="31" t="str">
        <x:v>ARC-0082</x:v>
      </x:c>
      <x:c r="B276" s="31" t="str">
        <x:v>P2</x:v>
      </x:c>
      <x:c r="C276" s="31" t="str">
        <x:v>Emergence Savior</x:v>
      </x:c>
      <x:c r="D276" s="31" t="str">
        <x:v>Emergence Savior</x:v>
      </x:c>
      <x:c r="E276" s="31" t="str">
        <x:v>equipment_type</x:v>
      </x:c>
      <x:c r="F276" s="62" t="str"/>
      <x:c r="G276" s="62" t="str">
        <x:v>Operator Arcane</x:v>
      </x:c>
      <x:c r="H276" s="62" t="str">
        <x:v>legacy_subcategory=; reason=EQUIPMENT_COMPATIBILITY_IS_SEPARATE_FROM_LEGACY_SUBCATEGORY</x:v>
      </x:c>
      <x:c r="I276" s="62" t="str">
        <x:v>NOT_REVIEWED</x:v>
      </x:c>
      <x:c r="J276" s="62" t="str"/>
    </x:row>
    <x:row r="277">
      <x:c r="A277" s="31" t="str">
        <x:v>ARC-0082</x:v>
      </x:c>
      <x:c r="B277" s="31" t="str">
        <x:v>P2</x:v>
      </x:c>
      <x:c r="C277" s="31" t="str">
        <x:v>Emergence Savior</x:v>
      </x:c>
      <x:c r="D277" s="31" t="str">
        <x:v>Emergence Savior</x:v>
      </x:c>
      <x:c r="E277" s="31" t="str">
        <x:v>introduced_update</x:v>
      </x:c>
      <x:c r="F277" s="62" t="str"/>
      <x:c r="G277" s="62" t="str">
        <x:v>Update 31.5</x:v>
      </x:c>
      <x:c r="H277" s="62" t="str"/>
      <x:c r="I277" s="62" t="str">
        <x:v>NOT_REVIEWED</x:v>
      </x:c>
      <x:c r="J277" s="62" t="str"/>
    </x:row>
    <x:row r="278">
      <x:c r="A278" s="31" t="str">
        <x:v>ARC-0082</x:v>
      </x:c>
      <x:c r="B278" s="31" t="str">
        <x:v>P2</x:v>
      </x:c>
      <x:c r="C278" s="31" t="str">
        <x:v>Emergence Savior</x:v>
      </x:c>
      <x:c r="D278" s="31" t="str">
        <x:v>Emergence Savior</x:v>
      </x:c>
      <x:c r="E278" s="31" t="str">
        <x:v>effect_text</x:v>
      </x:c>
      <x:c r="F278" s="62" t="str"/>
      <x:c r="G278" s="62" t="str">
        <x:v>On Lethal Damage:\nBecome invulnerable for 5s and recover 60% Health. Cooldown: 90s</x:v>
      </x:c>
      <x:c r="H278" s="62" t="str">
        <x:v>comparison=HEURISTIC_TEXT_ONLY</x:v>
      </x:c>
      <x:c r="I278" s="62" t="str">
        <x:v>NOT_REVIEWED</x:v>
      </x:c>
      <x:c r="J278" s="62" t="str"/>
    </x:row>
    <x:row r="279">
      <x:c r="A279" s="31" t="str">
        <x:v>ARC-0083</x:v>
      </x:c>
      <x:c r="B279" s="31" t="str">
        <x:v>P2</x:v>
      </x:c>
      <x:c r="C279" s="31" t="str">
        <x:v>Eternal Eradicate</x:v>
      </x:c>
      <x:c r="D279" s="31" t="str">
        <x:v>Eternal Eradicate</x:v>
      </x:c>
      <x:c r="E279" s="31" t="str">
        <x:v>unique_name</x:v>
      </x:c>
      <x:c r="F279" s="62" t="str"/>
      <x:c r="G279" s="62" t="str">
        <x:v>/Lotus/Upgrades/CosmeticEnhancers/Zariman/OperatorOnOperatorAbilityIncreaseDamage</x:v>
      </x:c>
      <x:c r="H279" s="62" t="str">
        <x:v>reason=MISSING_OR_DIFFERENT_STABLE_ID</x:v>
      </x:c>
      <x:c r="I279" s="62" t="str">
        <x:v>NOT_REVIEWED</x:v>
      </x:c>
      <x:c r="J279" s="62" t="str"/>
    </x:row>
    <x:row r="280">
      <x:c r="A280" s="31" t="str">
        <x:v>ARC-0083</x:v>
      </x:c>
      <x:c r="B280" s="31" t="str">
        <x:v>P2</x:v>
      </x:c>
      <x:c r="C280" s="31" t="str">
        <x:v>Eternal Eradicate</x:v>
      </x:c>
      <x:c r="D280" s="31" t="str">
        <x:v>Eternal Eradicate</x:v>
      </x:c>
      <x:c r="E280" s="31" t="str">
        <x:v>equipment_type</x:v>
      </x:c>
      <x:c r="F280" s="62" t="str"/>
      <x:c r="G280" s="62" t="str">
        <x:v>Amp Arcane</x:v>
      </x:c>
      <x:c r="H280" s="62" t="str">
        <x:v>legacy_subcategory=Eternal; reason=EQUIPMENT_COMPATIBILITY_IS_SEPARATE_FROM_LEGACY_SUBCATEGORY</x:v>
      </x:c>
      <x:c r="I280" s="62" t="str">
        <x:v>NOT_REVIEWED</x:v>
      </x:c>
      <x:c r="J280" s="62" t="str"/>
    </x:row>
    <x:row r="281">
      <x:c r="A281" s="31" t="str">
        <x:v>ARC-0083</x:v>
      </x:c>
      <x:c r="B281" s="31" t="str">
        <x:v>P2</x:v>
      </x:c>
      <x:c r="C281" s="31" t="str">
        <x:v>Eternal Eradicate</x:v>
      </x:c>
      <x:c r="D281" s="31" t="str">
        <x:v>Eternal Eradicate</x:v>
      </x:c>
      <x:c r="E281" s="31" t="str">
        <x:v>introduced_update</x:v>
      </x:c>
      <x:c r="F281" s="62" t="str">
        <x:v>31.5</x:v>
      </x:c>
      <x:c r="G281" s="62" t="str">
        <x:v>Update 31.5</x:v>
      </x:c>
      <x:c r="H281" s="62" t="str"/>
      <x:c r="I281" s="62" t="str">
        <x:v>NOT_REVIEWED</x:v>
      </x:c>
      <x:c r="J281" s="62" t="str"/>
    </x:row>
    <x:row r="282">
      <x:c r="A282" s="31" t="str">
        <x:v>ARC-0083</x:v>
      </x:c>
      <x:c r="B282" s="31" t="str">
        <x:v>P2</x:v>
      </x:c>
      <x:c r="C282" s="31" t="str">
        <x:v>Eternal Eradicate</x:v>
      </x:c>
      <x:c r="D282" s="31" t="str">
        <x:v>Eternal Eradicate</x:v>
      </x:c>
      <x:c r="E282" s="31" t="str">
        <x:v>effect_text</x:v>
      </x:c>
      <x:c r="F282" s="62" t="str">
        <x:v>+30% Amp Damage vs Overguard enemies for 20s (stackable)</x:v>
      </x:c>
      <x:c r="G282" s="62" t="str">
        <x:v>On Operator Ability:\n+60% Damage to Amps for 8s</x:v>
      </x:c>
      <x:c r="H282" s="62" t="str">
        <x:v>comparison=HEURISTIC_TEXT_ONLY</x:v>
      </x:c>
      <x:c r="I282" s="62" t="str">
        <x:v>NOT_REVIEWED</x:v>
      </x:c>
      <x:c r="J282" s="62" t="str"/>
    </x:row>
    <x:row r="283">
      <x:c r="A283" s="31" t="str">
        <x:v>ARC-0084</x:v>
      </x:c>
      <x:c r="B283" s="31" t="str">
        <x:v>P2</x:v>
      </x:c>
      <x:c r="C283" s="31" t="str">
        <x:v>Eternal Logistics</x:v>
      </x:c>
      <x:c r="D283" s="31" t="str">
        <x:v>Eternal Logistics</x:v>
      </x:c>
      <x:c r="E283" s="31" t="str">
        <x:v>unique_name</x:v>
      </x:c>
      <x:c r="F283" s="62" t="str"/>
      <x:c r="G283" s="62" t="str">
        <x:v>/Lotus/Upgrades/CosmeticEnhancers/Zariman/AmpOnVoidSlingAmpAmmoEfficiency</x:v>
      </x:c>
      <x:c r="H283" s="62" t="str">
        <x:v>reason=MISSING_OR_DIFFERENT_STABLE_ID</x:v>
      </x:c>
      <x:c r="I283" s="62" t="str">
        <x:v>NOT_REVIEWED</x:v>
      </x:c>
      <x:c r="J283" s="62" t="str"/>
    </x:row>
    <x:row r="284">
      <x:c r="A284" s="31" t="str">
        <x:v>ARC-0084</x:v>
      </x:c>
      <x:c r="B284" s="31" t="str">
        <x:v>P2</x:v>
      </x:c>
      <x:c r="C284" s="31" t="str">
        <x:v>Eternal Logistics</x:v>
      </x:c>
      <x:c r="D284" s="31" t="str">
        <x:v>Eternal Logistics</x:v>
      </x:c>
      <x:c r="E284" s="31" t="str">
        <x:v>equipment_type</x:v>
      </x:c>
      <x:c r="F284" s="62" t="str"/>
      <x:c r="G284" s="62" t="str">
        <x:v>Amp Arcane</x:v>
      </x:c>
      <x:c r="H284" s="62" t="str">
        <x:v>legacy_subcategory=; reason=EQUIPMENT_COMPATIBILITY_IS_SEPARATE_FROM_LEGACY_SUBCATEGORY</x:v>
      </x:c>
      <x:c r="I284" s="62" t="str">
        <x:v>NOT_REVIEWED</x:v>
      </x:c>
      <x:c r="J284" s="62" t="str"/>
    </x:row>
    <x:row r="285">
      <x:c r="A285" s="31" t="str">
        <x:v>ARC-0084</x:v>
      </x:c>
      <x:c r="B285" s="31" t="str">
        <x:v>P2</x:v>
      </x:c>
      <x:c r="C285" s="31" t="str">
        <x:v>Eternal Logistics</x:v>
      </x:c>
      <x:c r="D285" s="31" t="str">
        <x:v>Eternal Logistics</x:v>
      </x:c>
      <x:c r="E285" s="31" t="str">
        <x:v>introduced_update</x:v>
      </x:c>
      <x:c r="F285" s="62" t="str"/>
      <x:c r="G285" s="62" t="str">
        <x:v>Update 31.6</x:v>
      </x:c>
      <x:c r="H285" s="62" t="str"/>
      <x:c r="I285" s="62" t="str">
        <x:v>NOT_REVIEWED</x:v>
      </x:c>
      <x:c r="J285" s="62" t="str"/>
    </x:row>
    <x:row r="286">
      <x:c r="A286" s="31" t="str">
        <x:v>ARC-0084</x:v>
      </x:c>
      <x:c r="B286" s="31" t="str">
        <x:v>P2</x:v>
      </x:c>
      <x:c r="C286" s="31" t="str">
        <x:v>Eternal Logistics</x:v>
      </x:c>
      <x:c r="D286" s="31" t="str">
        <x:v>Eternal Logistics</x:v>
      </x:c>
      <x:c r="E286" s="31" t="str">
        <x:v>effect_text</x:v>
      </x:c>
      <x:c r="F286" s="62" t="str"/>
      <x:c r="G286" s="62" t="str">
        <x:v>On Void Sling:\n+72% Amp Ammo Efficiency for 8s</x:v>
      </x:c>
      <x:c r="H286" s="62" t="str">
        <x:v>comparison=HEURISTIC_TEXT_ONLY</x:v>
      </x:c>
      <x:c r="I286" s="62" t="str">
        <x:v>NOT_REVIEWED</x:v>
      </x:c>
      <x:c r="J286" s="62" t="str"/>
    </x:row>
    <x:row r="287">
      <x:c r="A287" s="31" t="str">
        <x:v>ARC-0085</x:v>
      </x:c>
      <x:c r="B287" s="31" t="str">
        <x:v>P2</x:v>
      </x:c>
      <x:c r="C287" s="31" t="str">
        <x:v>Eternal Onslaught</x:v>
      </x:c>
      <x:c r="D287" s="31" t="str">
        <x:v>Eternal Onslaught</x:v>
      </x:c>
      <x:c r="E287" s="31" t="str">
        <x:v>unique_name</x:v>
      </x:c>
      <x:c r="F287" s="62" t="str"/>
      <x:c r="G287" s="62" t="str">
        <x:v>/Lotus/Upgrades/CosmeticEnhancers/Zariman/AmpOnEnergyDepletedCritChance</x:v>
      </x:c>
      <x:c r="H287" s="62" t="str">
        <x:v>reason=MISSING_OR_DIFFERENT_STABLE_ID</x:v>
      </x:c>
      <x:c r="I287" s="62" t="str">
        <x:v>NOT_REVIEWED</x:v>
      </x:c>
      <x:c r="J287" s="62" t="str"/>
    </x:row>
    <x:row r="288">
      <x:c r="A288" s="31" t="str">
        <x:v>ARC-0085</x:v>
      </x:c>
      <x:c r="B288" s="31" t="str">
        <x:v>P2</x:v>
      </x:c>
      <x:c r="C288" s="31" t="str">
        <x:v>Eternal Onslaught</x:v>
      </x:c>
      <x:c r="D288" s="31" t="str">
        <x:v>Eternal Onslaught</x:v>
      </x:c>
      <x:c r="E288" s="31" t="str">
        <x:v>equipment_type</x:v>
      </x:c>
      <x:c r="F288" s="62" t="str"/>
      <x:c r="G288" s="62" t="str">
        <x:v>Amp Arcane</x:v>
      </x:c>
      <x:c r="H288" s="62" t="str">
        <x:v>legacy_subcategory=Eternal; reason=EQUIPMENT_COMPATIBILITY_IS_SEPARATE_FROM_LEGACY_SUBCATEGORY</x:v>
      </x:c>
      <x:c r="I288" s="62" t="str">
        <x:v>NOT_REVIEWED</x:v>
      </x:c>
      <x:c r="J288" s="62" t="str"/>
    </x:row>
    <x:row r="289">
      <x:c r="A289" s="31" t="str">
        <x:v>ARC-0085</x:v>
      </x:c>
      <x:c r="B289" s="31" t="str">
        <x:v>P2</x:v>
      </x:c>
      <x:c r="C289" s="31" t="str">
        <x:v>Eternal Onslaught</x:v>
      </x:c>
      <x:c r="D289" s="31" t="str">
        <x:v>Eternal Onslaught</x:v>
      </x:c>
      <x:c r="E289" s="31" t="str">
        <x:v>introduced_update</x:v>
      </x:c>
      <x:c r="F289" s="62" t="str">
        <x:v>31.5</x:v>
      </x:c>
      <x:c r="G289" s="62" t="str">
        <x:v>Update 31.6</x:v>
      </x:c>
      <x:c r="H289" s="62" t="str"/>
      <x:c r="I289" s="62" t="str">
        <x:v>NOT_REVIEWED</x:v>
      </x:c>
      <x:c r="J289" s="62" t="str"/>
    </x:row>
    <x:row r="290">
      <x:c r="A290" s="31" t="str">
        <x:v>ARC-0085</x:v>
      </x:c>
      <x:c r="B290" s="31" t="str">
        <x:v>P2</x:v>
      </x:c>
      <x:c r="C290" s="31" t="str">
        <x:v>Eternal Onslaught</x:v>
      </x:c>
      <x:c r="D290" s="31" t="str">
        <x:v>Eternal Onslaught</x:v>
      </x:c>
      <x:c r="E290" s="31" t="str">
        <x:v>effect_text</x:v>
      </x:c>
      <x:c r="F290" s="62" t="str">
        <x:v>Stacking +15% Amp Damage per hit; max +90% for 8s</x:v>
      </x:c>
      <x:c r="G290" s="62" t="str">
        <x:v>On Energy Depleted:\n180% Critical Chance for 8s</x:v>
      </x:c>
      <x:c r="H290" s="62" t="str">
        <x:v>comparison=HEURISTIC_TEXT_ONLY</x:v>
      </x:c>
      <x:c r="I290" s="62" t="str">
        <x:v>NOT_REVIEWED</x:v>
      </x:c>
      <x:c r="J290" s="62" t="str"/>
    </x:row>
    <x:row r="291">
      <x:c r="A291" s="31" t="str">
        <x:v>ARC-0086</x:v>
      </x:c>
      <x:c r="B291" s="31" t="str">
        <x:v>P2</x:v>
      </x:c>
      <x:c r="C291" s="31" t="str">
        <x:v>Exodia Brave</x:v>
      </x:c>
      <x:c r="D291" s="31" t="str">
        <x:v>Exodia Brave</x:v>
      </x:c>
      <x:c r="E291" s="31" t="str">
        <x:v>unique_name</x:v>
      </x:c>
      <x:c r="F291" s="62" t="str"/>
      <x:c r="G291" s="62" t="str">
        <x:v>/Lotus/Upgrades/CosmeticEnhancers/Offensive/ChannelKillEnergyRate</x:v>
      </x:c>
      <x:c r="H291" s="62" t="str">
        <x:v>reason=MISSING_OR_DIFFERENT_STABLE_ID</x:v>
      </x:c>
      <x:c r="I291" s="62" t="str">
        <x:v>NOT_REVIEWED</x:v>
      </x:c>
      <x:c r="J291" s="62" t="str"/>
    </x:row>
    <x:row r="292">
      <x:c r="A292" s="31" t="str">
        <x:v>ARC-0086</x:v>
      </x:c>
      <x:c r="B292" s="31" t="str">
        <x:v>P2</x:v>
      </x:c>
      <x:c r="C292" s="31" t="str">
        <x:v>Exodia Brave</x:v>
      </x:c>
      <x:c r="D292" s="31" t="str">
        <x:v>Exodia Brave</x:v>
      </x:c>
      <x:c r="E292" s="31" t="str">
        <x:v>equipment_type</x:v>
      </x:c>
      <x:c r="F292" s="62" t="str"/>
      <x:c r="G292" s="62" t="str">
        <x:v>Zaw Arcane</x:v>
      </x:c>
      <x:c r="H292" s="62" t="str">
        <x:v>legacy_subcategory=Exodia; reason=EQUIPMENT_COMPATIBILITY_IS_SEPARATE_FROM_LEGACY_SUBCATEGORY</x:v>
      </x:c>
      <x:c r="I292" s="62" t="str">
        <x:v>NOT_REVIEWED</x:v>
      </x:c>
      <x:c r="J292" s="62" t="str"/>
    </x:row>
    <x:row r="293">
      <x:c r="A293" s="31" t="str">
        <x:v>ARC-0086</x:v>
      </x:c>
      <x:c r="B293" s="31" t="str">
        <x:v>P2</x:v>
      </x:c>
      <x:c r="C293" s="31" t="str">
        <x:v>Exodia Brave</x:v>
      </x:c>
      <x:c r="D293" s="31" t="str">
        <x:v>Exodia Brave</x:v>
      </x:c>
      <x:c r="E293" s="31" t="str">
        <x:v>introduced_update</x:v>
      </x:c>
      <x:c r="F293" s="62" t="str">
        <x:v>22.0</x:v>
      </x:c>
      <x:c r="G293" s="62" t="str">
        <x:v>Update 22.0</x:v>
      </x:c>
      <x:c r="H293" s="62" t="str"/>
      <x:c r="I293" s="62" t="str">
        <x:v>NOT_REVIEWED</x:v>
      </x:c>
      <x:c r="J293" s="62" t="str"/>
    </x:row>
    <x:row r="294">
      <x:c r="A294" s="31" t="str">
        <x:v>ARC-0086</x:v>
      </x:c>
      <x:c r="B294" s="31" t="str">
        <x:v>P2</x:v>
      </x:c>
      <x:c r="C294" s="31" t="str">
        <x:v>Exodia Brave</x:v>
      </x:c>
      <x:c r="D294" s="31" t="str">
        <x:v>Exodia Brave</x:v>
      </x:c>
      <x:c r="E294" s="31" t="str">
        <x:v>effect_text</x:v>
      </x:c>
      <x:c r="F294" s="62" t="str">
        <x:v>Restore +12 Energy per Heavy Attack hit</x:v>
      </x:c>
      <x:c r="G294" s="62" t="str">
        <x:v>On Heavy Attack Kill:\n+5 Energy Rate for 4s. Stacks up to 3x.</x:v>
      </x:c>
      <x:c r="H294" s="62" t="str">
        <x:v>comparison=HEURISTIC_TEXT_ONLY</x:v>
      </x:c>
      <x:c r="I294" s="62" t="str">
        <x:v>NOT_REVIEWED</x:v>
      </x:c>
      <x:c r="J294" s="62" t="str"/>
    </x:row>
    <x:row r="295">
      <x:c r="A295" s="31" t="str">
        <x:v>ARC-0087</x:v>
      </x:c>
      <x:c r="B295" s="31" t="str">
        <x:v>P2</x:v>
      </x:c>
      <x:c r="C295" s="31" t="str">
        <x:v>Exodia Contagion</x:v>
      </x:c>
      <x:c r="D295" s="31" t="str">
        <x:v>Exodia Contagion</x:v>
      </x:c>
      <x:c r="E295" s="31" t="str">
        <x:v>unique_name</x:v>
      </x:c>
      <x:c r="F295" s="62" t="str"/>
      <x:c r="G295" s="62" t="str">
        <x:v>/Lotus/Upgrades/CosmeticEnhancers/Offensive/MeleeArcaneProjectileOnJump</x:v>
      </x:c>
      <x:c r="H295" s="62" t="str">
        <x:v>reason=MISSING_OR_DIFFERENT_STABLE_ID</x:v>
      </x:c>
      <x:c r="I295" s="62" t="str">
        <x:v>NOT_REVIEWED</x:v>
      </x:c>
      <x:c r="J295" s="62" t="str"/>
    </x:row>
    <x:row r="296">
      <x:c r="A296" s="31" t="str">
        <x:v>ARC-0087</x:v>
      </x:c>
      <x:c r="B296" s="31" t="str">
        <x:v>P2</x:v>
      </x:c>
      <x:c r="C296" s="31" t="str">
        <x:v>Exodia Contagion</x:v>
      </x:c>
      <x:c r="D296" s="31" t="str">
        <x:v>Exodia Contagion</x:v>
      </x:c>
      <x:c r="E296" s="31" t="str">
        <x:v>equipment_type</x:v>
      </x:c>
      <x:c r="F296" s="62" t="str"/>
      <x:c r="G296" s="62" t="str">
        <x:v>Zaw Arcane</x:v>
      </x:c>
      <x:c r="H296" s="62" t="str">
        <x:v>legacy_subcategory=Exodia; reason=EQUIPMENT_COMPATIBILITY_IS_SEPARATE_FROM_LEGACY_SUBCATEGORY</x:v>
      </x:c>
      <x:c r="I296" s="62" t="str">
        <x:v>NOT_REVIEWED</x:v>
      </x:c>
      <x:c r="J296" s="62" t="str"/>
    </x:row>
    <x:row r="297">
      <x:c r="A297" s="31" t="str">
        <x:v>ARC-0087</x:v>
      </x:c>
      <x:c r="B297" s="31" t="str">
        <x:v>P2</x:v>
      </x:c>
      <x:c r="C297" s="31" t="str">
        <x:v>Exodia Contagion</x:v>
      </x:c>
      <x:c r="D297" s="31" t="str">
        <x:v>Exodia Contagion</x:v>
      </x:c>
      <x:c r="E297" s="31" t="str">
        <x:v>introduced_update</x:v>
      </x:c>
      <x:c r="F297" s="62" t="str">
        <x:v>22.0</x:v>
      </x:c>
      <x:c r="G297" s="62" t="str">
        <x:v>Update 22.3</x:v>
      </x:c>
      <x:c r="H297" s="62" t="str"/>
      <x:c r="I297" s="62" t="str">
        <x:v>NOT_REVIEWED</x:v>
      </x:c>
      <x:c r="J297" s="62" t="str"/>
    </x:row>
    <x:row r="298">
      <x:c r="A298" s="31" t="str">
        <x:v>ARC-0087</x:v>
      </x:c>
      <x:c r="B298" s="31" t="str">
        <x:v>P2</x:v>
      </x:c>
      <x:c r="C298" s="31" t="str">
        <x:v>Exodia Contagion</x:v>
      </x:c>
      <x:c r="D298" s="31" t="str">
        <x:v>Exodia Contagion</x:v>
      </x:c>
      <x:c r="E298" s="31" t="str">
        <x:v>effect_text</x:v>
      </x:c>
      <x:c r="F298" s="62" t="str">
        <x:v>Launch a Viral/Toxin projectile on aerial melee attacks</x:v>
      </x:c>
      <x:c r="G298" s="62" t="str">
        <x:v>After a Bullet Jump or Double Jump:\nMelee while Aim Gliding launches a projectile that explodes on impact</x:v>
      </x:c>
      <x:c r="H298" s="62" t="str">
        <x:v>comparison=HEURISTIC_TEXT_ONLY</x:v>
      </x:c>
      <x:c r="I298" s="62" t="str">
        <x:v>NOT_REVIEWED</x:v>
      </x:c>
      <x:c r="J298" s="62" t="str"/>
    </x:row>
    <x:row r="299">
      <x:c r="A299" s="31" t="str">
        <x:v>ARC-0088</x:v>
      </x:c>
      <x:c r="B299" s="31" t="str">
        <x:v>P2</x:v>
      </x:c>
      <x:c r="C299" s="31" t="str">
        <x:v>Exodia Epidemic</x:v>
      </x:c>
      <x:c r="D299" s="31" t="str">
        <x:v>Exodia Epidemic</x:v>
      </x:c>
      <x:c r="E299" s="31" t="str">
        <x:v>unique_name</x:v>
      </x:c>
      <x:c r="F299" s="62" t="str"/>
      <x:c r="G299" s="62" t="str">
        <x:v>/Lotus/Upgrades/CosmeticEnhancers/Offensive/MeleeArcaneShockwaveOnJump</x:v>
      </x:c>
      <x:c r="H299" s="62" t="str">
        <x:v>reason=MISSING_OR_DIFFERENT_STABLE_ID</x:v>
      </x:c>
      <x:c r="I299" s="62" t="str">
        <x:v>NOT_REVIEWED</x:v>
      </x:c>
      <x:c r="J299" s="62" t="str"/>
    </x:row>
    <x:row r="300">
      <x:c r="A300" s="31" t="str">
        <x:v>ARC-0088</x:v>
      </x:c>
      <x:c r="B300" s="31" t="str">
        <x:v>P2</x:v>
      </x:c>
      <x:c r="C300" s="31" t="str">
        <x:v>Exodia Epidemic</x:v>
      </x:c>
      <x:c r="D300" s="31" t="str">
        <x:v>Exodia Epidemic</x:v>
      </x:c>
      <x:c r="E300" s="31" t="str">
        <x:v>equipment_type</x:v>
      </x:c>
      <x:c r="F300" s="62" t="str"/>
      <x:c r="G300" s="62" t="str">
        <x:v>Zaw Arcane</x:v>
      </x:c>
      <x:c r="H300" s="62" t="str">
        <x:v>legacy_subcategory=Exodia; reason=EQUIPMENT_COMPATIBILITY_IS_SEPARATE_FROM_LEGACY_SUBCATEGORY</x:v>
      </x:c>
      <x:c r="I300" s="62" t="str">
        <x:v>NOT_REVIEWED</x:v>
      </x:c>
      <x:c r="J300" s="62" t="str"/>
    </x:row>
    <x:row r="301">
      <x:c r="A301" s="31" t="str">
        <x:v>ARC-0088</x:v>
      </x:c>
      <x:c r="B301" s="31" t="str">
        <x:v>P2</x:v>
      </x:c>
      <x:c r="C301" s="31" t="str">
        <x:v>Exodia Epidemic</x:v>
      </x:c>
      <x:c r="D301" s="31" t="str">
        <x:v>Exodia Epidemic</x:v>
      </x:c>
      <x:c r="E301" s="31" t="str">
        <x:v>introduced_update</x:v>
      </x:c>
      <x:c r="F301" s="62" t="str">
        <x:v>22.0</x:v>
      </x:c>
      <x:c r="G301" s="62" t="str">
        <x:v>Update 22.3</x:v>
      </x:c>
      <x:c r="H301" s="62" t="str"/>
      <x:c r="I301" s="62" t="str">
        <x:v>NOT_REVIEWED</x:v>
      </x:c>
      <x:c r="J301" s="62" t="str"/>
    </x:row>
    <x:row r="302">
      <x:c r="A302" s="31" t="str">
        <x:v>ARC-0088</x:v>
      </x:c>
      <x:c r="B302" s="31" t="str">
        <x:v>P2</x:v>
      </x:c>
      <x:c r="C302" s="31" t="str">
        <x:v>Exodia Epidemic</x:v>
      </x:c>
      <x:c r="D302" s="31" t="str">
        <x:v>Exodia Epidemic</x:v>
      </x:c>
      <x:c r="E302" s="31" t="str">
        <x:v>effect_text</x:v>
      </x:c>
      <x:c r="F302" s="62" t="str">
        <x:v>Spread active status procs to nearby enemies</x:v>
      </x:c>
      <x:c r="G302" s="62" t="str">
        <x:v>After a Bullet Jump or Double Jump:\nSlam emits a shockwave forwards that suspends enemies in the air for a short period</x:v>
      </x:c>
      <x:c r="H302" s="62" t="str">
        <x:v>comparison=HEURISTIC_TEXT_ONLY</x:v>
      </x:c>
      <x:c r="I302" s="62" t="str">
        <x:v>NOT_REVIEWED</x:v>
      </x:c>
      <x:c r="J302" s="62" t="str"/>
    </x:row>
    <x:row r="303">
      <x:c r="A303" s="31" t="str">
        <x:v>ARC-0089</x:v>
      </x:c>
      <x:c r="B303" s="31" t="str">
        <x:v>P2</x:v>
      </x:c>
      <x:c r="C303" s="31" t="str">
        <x:v>Exodia Force</x:v>
      </x:c>
      <x:c r="D303" s="31" t="str">
        <x:v>Exodia Force</x:v>
      </x:c>
      <x:c r="E303" s="31" t="str">
        <x:v>unique_name</x:v>
      </x:c>
      <x:c r="F303" s="62" t="str"/>
      <x:c r="G303" s="62" t="str">
        <x:v>/Lotus/Upgrades/CosmeticEnhancers/Offensive/StatusTriggerRadialDamage</x:v>
      </x:c>
      <x:c r="H303" s="62" t="str">
        <x:v>reason=MISSING_OR_DIFFERENT_STABLE_ID</x:v>
      </x:c>
      <x:c r="I303" s="62" t="str">
        <x:v>NOT_REVIEWED</x:v>
      </x:c>
      <x:c r="J303" s="62" t="str"/>
    </x:row>
    <x:row r="304">
      <x:c r="A304" s="31" t="str">
        <x:v>ARC-0089</x:v>
      </x:c>
      <x:c r="B304" s="31" t="str">
        <x:v>P2</x:v>
      </x:c>
      <x:c r="C304" s="31" t="str">
        <x:v>Exodia Force</x:v>
      </x:c>
      <x:c r="D304" s="31" t="str">
        <x:v>Exodia Force</x:v>
      </x:c>
      <x:c r="E304" s="31" t="str">
        <x:v>equipment_type</x:v>
      </x:c>
      <x:c r="F304" s="62" t="str"/>
      <x:c r="G304" s="62" t="str">
        <x:v>Zaw Arcane</x:v>
      </x:c>
      <x:c r="H304" s="62" t="str">
        <x:v>legacy_subcategory=Exodia; reason=EQUIPMENT_COMPATIBILITY_IS_SEPARATE_FROM_LEGACY_SUBCATEGORY</x:v>
      </x:c>
      <x:c r="I304" s="62" t="str">
        <x:v>NOT_REVIEWED</x:v>
      </x:c>
      <x:c r="J304" s="62" t="str"/>
    </x:row>
    <x:row r="305">
      <x:c r="A305" s="31" t="str">
        <x:v>ARC-0089</x:v>
      </x:c>
      <x:c r="B305" s="31" t="str">
        <x:v>P2</x:v>
      </x:c>
      <x:c r="C305" s="31" t="str">
        <x:v>Exodia Force</x:v>
      </x:c>
      <x:c r="D305" s="31" t="str">
        <x:v>Exodia Force</x:v>
      </x:c>
      <x:c r="E305" s="31" t="str">
        <x:v>introduced_update</x:v>
      </x:c>
      <x:c r="F305" s="62" t="str">
        <x:v>22.0</x:v>
      </x:c>
      <x:c r="G305" s="62" t="str">
        <x:v>Update 22.0</x:v>
      </x:c>
      <x:c r="H305" s="62" t="str"/>
      <x:c r="I305" s="62" t="str">
        <x:v>NOT_REVIEWED</x:v>
      </x:c>
      <x:c r="J305" s="62" t="str"/>
    </x:row>
    <x:row r="306">
      <x:c r="A306" s="31" t="str">
        <x:v>ARC-0089</x:v>
      </x:c>
      <x:c r="B306" s="31" t="str">
        <x:v>P2</x:v>
      </x:c>
      <x:c r="C306" s="31" t="str">
        <x:v>Exodia Force</x:v>
      </x:c>
      <x:c r="D306" s="31" t="str">
        <x:v>Exodia Force</x:v>
      </x:c>
      <x:c r="E306" s="31" t="str">
        <x:v>effect_text</x:v>
      </x:c>
      <x:c r="F306" s="62" t="str">
        <x:v>Chance to proc random elemental damage</x:v>
      </x:c>
      <x:c r="G306" s="62" t="str">
        <x:v>On Status Effect:\n50% chance to deal 200% Weapon Damage to enemies within 6m.</x:v>
      </x:c>
      <x:c r="H306" s="62" t="str">
        <x:v>comparison=HEURISTIC_TEXT_ONLY</x:v>
      </x:c>
      <x:c r="I306" s="62" t="str">
        <x:v>NOT_REVIEWED</x:v>
      </x:c>
      <x:c r="J306" s="62" t="str"/>
    </x:row>
    <x:row r="307">
      <x:c r="A307" s="31" t="str">
        <x:v>ARC-0090</x:v>
      </x:c>
      <x:c r="B307" s="31" t="str">
        <x:v>P2</x:v>
      </x:c>
      <x:c r="C307" s="31" t="str">
        <x:v>Exodia Hunt</x:v>
      </x:c>
      <x:c r="D307" s="31" t="str">
        <x:v>Exodia Hunt</x:v>
      </x:c>
      <x:c r="E307" s="31" t="str">
        <x:v>unique_name</x:v>
      </x:c>
      <x:c r="F307" s="62" t="str"/>
      <x:c r="G307" s="62" t="str">
        <x:v>/Lotus/Upgrades/CosmeticEnhancers/Offensive/GroundSlamPull</x:v>
      </x:c>
      <x:c r="H307" s="62" t="str">
        <x:v>reason=MISSING_OR_DIFFERENT_STABLE_ID</x:v>
      </x:c>
      <x:c r="I307" s="62" t="str">
        <x:v>NOT_REVIEWED</x:v>
      </x:c>
      <x:c r="J307" s="62" t="str"/>
    </x:row>
    <x:row r="308">
      <x:c r="A308" s="31" t="str">
        <x:v>ARC-0090</x:v>
      </x:c>
      <x:c r="B308" s="31" t="str">
        <x:v>P2</x:v>
      </x:c>
      <x:c r="C308" s="31" t="str">
        <x:v>Exodia Hunt</x:v>
      </x:c>
      <x:c r="D308" s="31" t="str">
        <x:v>Exodia Hunt</x:v>
      </x:c>
      <x:c r="E308" s="31" t="str">
        <x:v>equipment_type</x:v>
      </x:c>
      <x:c r="F308" s="62" t="str"/>
      <x:c r="G308" s="62" t="str">
        <x:v>Zaw Arcane</x:v>
      </x:c>
      <x:c r="H308" s="62" t="str">
        <x:v>legacy_subcategory=Exodia; reason=EQUIPMENT_COMPATIBILITY_IS_SEPARATE_FROM_LEGACY_SUBCATEGORY</x:v>
      </x:c>
      <x:c r="I308" s="62" t="str">
        <x:v>NOT_REVIEWED</x:v>
      </x:c>
      <x:c r="J308" s="62" t="str"/>
    </x:row>
    <x:row r="309">
      <x:c r="A309" s="31" t="str">
        <x:v>ARC-0090</x:v>
      </x:c>
      <x:c r="B309" s="31" t="str">
        <x:v>P2</x:v>
      </x:c>
      <x:c r="C309" s="31" t="str">
        <x:v>Exodia Hunt</x:v>
      </x:c>
      <x:c r="D309" s="31" t="str">
        <x:v>Exodia Hunt</x:v>
      </x:c>
      <x:c r="E309" s="31" t="str">
        <x:v>introduced_update</x:v>
      </x:c>
      <x:c r="F309" s="62" t="str">
        <x:v>22.0</x:v>
      </x:c>
      <x:c r="G309" s="62" t="str">
        <x:v>Update 22.0</x:v>
      </x:c>
      <x:c r="H309" s="62" t="str"/>
      <x:c r="I309" s="62" t="str">
        <x:v>NOT_REVIEWED</x:v>
      </x:c>
      <x:c r="J309" s="62" t="str"/>
    </x:row>
    <x:row r="310">
      <x:c r="A310" s="31" t="str">
        <x:v>ARC-0090</x:v>
      </x:c>
      <x:c r="B310" s="31" t="str">
        <x:v>P2</x:v>
      </x:c>
      <x:c r="C310" s="31" t="str">
        <x:v>Exodia Hunt</x:v>
      </x:c>
      <x:c r="D310" s="31" t="str">
        <x:v>Exodia Hunt</x:v>
      </x:c>
      <x:c r="E310" s="31" t="str">
        <x:v>effect_text</x:v>
      </x:c>
      <x:c r="F310" s="62" t="str">
        <x:v>Chance to Magnetize targeted enemy</x:v>
      </x:c>
      <x:c r="G310" s="62" t="str">
        <x:v>On Ground Slam:\n50% chance to pull enemies within 12m into melee range.</x:v>
      </x:c>
      <x:c r="H310" s="62" t="str">
        <x:v>comparison=HEURISTIC_TEXT_ONLY</x:v>
      </x:c>
      <x:c r="I310" s="62" t="str">
        <x:v>NOT_REVIEWED</x:v>
      </x:c>
      <x:c r="J310" s="62" t="str"/>
    </x:row>
    <x:row r="311">
      <x:c r="A311" s="31" t="str">
        <x:v>ARC-0091</x:v>
      </x:c>
      <x:c r="B311" s="31" t="str">
        <x:v>P2</x:v>
      </x:c>
      <x:c r="C311" s="31" t="str">
        <x:v>Exodia Might</x:v>
      </x:c>
      <x:c r="D311" s="31" t="str">
        <x:v>Exodia Might</x:v>
      </x:c>
      <x:c r="E311" s="31" t="str">
        <x:v>unique_name</x:v>
      </x:c>
      <x:c r="F311" s="62" t="str"/>
      <x:c r="G311" s="62" t="str">
        <x:v>/Lotus/Upgrades/CosmeticEnhancers/Offensive/FinisherLifesteal</x:v>
      </x:c>
      <x:c r="H311" s="62" t="str">
        <x:v>reason=MISSING_OR_DIFFERENT_STABLE_ID</x:v>
      </x:c>
      <x:c r="I311" s="62" t="str">
        <x:v>NOT_REVIEWED</x:v>
      </x:c>
      <x:c r="J311" s="62" t="str"/>
    </x:row>
    <x:row r="312">
      <x:c r="A312" s="31" t="str">
        <x:v>ARC-0091</x:v>
      </x:c>
      <x:c r="B312" s="31" t="str">
        <x:v>P2</x:v>
      </x:c>
      <x:c r="C312" s="31" t="str">
        <x:v>Exodia Might</x:v>
      </x:c>
      <x:c r="D312" s="31" t="str">
        <x:v>Exodia Might</x:v>
      </x:c>
      <x:c r="E312" s="31" t="str">
        <x:v>equipment_type</x:v>
      </x:c>
      <x:c r="F312" s="62" t="str"/>
      <x:c r="G312" s="62" t="str">
        <x:v>Zaw Arcane</x:v>
      </x:c>
      <x:c r="H312" s="62" t="str">
        <x:v>legacy_subcategory=Exodia; reason=EQUIPMENT_COMPATIBILITY_IS_SEPARATE_FROM_LEGACY_SUBCATEGORY</x:v>
      </x:c>
      <x:c r="I312" s="62" t="str">
        <x:v>NOT_REVIEWED</x:v>
      </x:c>
      <x:c r="J312" s="62" t="str"/>
    </x:row>
    <x:row r="313">
      <x:c r="A313" s="31" t="str">
        <x:v>ARC-0091</x:v>
      </x:c>
      <x:c r="B313" s="31" t="str">
        <x:v>P2</x:v>
      </x:c>
      <x:c r="C313" s="31" t="str">
        <x:v>Exodia Might</x:v>
      </x:c>
      <x:c r="D313" s="31" t="str">
        <x:v>Exodia Might</x:v>
      </x:c>
      <x:c r="E313" s="31" t="str">
        <x:v>introduced_update</x:v>
      </x:c>
      <x:c r="F313" s="62" t="str">
        <x:v>22.0</x:v>
      </x:c>
      <x:c r="G313" s="62" t="str">
        <x:v>Update 22.0</x:v>
      </x:c>
      <x:c r="H313" s="62" t="str"/>
      <x:c r="I313" s="62" t="str">
        <x:v>NOT_REVIEWED</x:v>
      </x:c>
      <x:c r="J313" s="62" t="str"/>
    </x:row>
    <x:row r="314">
      <x:c r="A314" s="31" t="str">
        <x:v>ARC-0091</x:v>
      </x:c>
      <x:c r="B314" s="31" t="str">
        <x:v>P2</x:v>
      </x:c>
      <x:c r="C314" s="31" t="str">
        <x:v>Exodia Might</x:v>
      </x:c>
      <x:c r="D314" s="31" t="str">
        <x:v>Exodia Might</x:v>
      </x:c>
      <x:c r="E314" s="31" t="str">
        <x:v>effect_text</x:v>
      </x:c>
      <x:c r="F314" s="62" t="str">
        <x:v>Chance to proc Hemorrhage bleed on Crit</x:v>
      </x:c>
      <x:c r="G314" s="62" t="str">
        <x:v>On Finisher Kill:\n50% chance for +30% Life Steal for 8s</x:v>
      </x:c>
      <x:c r="H314" s="62" t="str">
        <x:v>comparison=HEURISTIC_TEXT_ONLY</x:v>
      </x:c>
      <x:c r="I314" s="62" t="str">
        <x:v>NOT_REVIEWED</x:v>
      </x:c>
      <x:c r="J314" s="62" t="str"/>
    </x:row>
    <x:row r="315">
      <x:c r="A315" s="31" t="str">
        <x:v>ARC-0092</x:v>
      </x:c>
      <x:c r="B315" s="31" t="str">
        <x:v>P2</x:v>
      </x:c>
      <x:c r="C315" s="31" t="str">
        <x:v>Exodia Triumph</x:v>
      </x:c>
      <x:c r="D315" s="31" t="str">
        <x:v>Exodia Triumph</x:v>
      </x:c>
      <x:c r="E315" s="31" t="str">
        <x:v>unique_name</x:v>
      </x:c>
      <x:c r="F315" s="62" t="str"/>
      <x:c r="G315" s="62" t="str">
        <x:v>/Lotus/Upgrades/CosmeticEnhancers/Offensive/StatusChannelingDamage</x:v>
      </x:c>
      <x:c r="H315" s="62" t="str">
        <x:v>reason=MISSING_OR_DIFFERENT_STABLE_ID</x:v>
      </x:c>
      <x:c r="I315" s="62" t="str">
        <x:v>NOT_REVIEWED</x:v>
      </x:c>
      <x:c r="J315" s="62" t="str"/>
    </x:row>
    <x:row r="316">
      <x:c r="A316" s="31" t="str">
        <x:v>ARC-0092</x:v>
      </x:c>
      <x:c r="B316" s="31" t="str">
        <x:v>P2</x:v>
      </x:c>
      <x:c r="C316" s="31" t="str">
        <x:v>Exodia Triumph</x:v>
      </x:c>
      <x:c r="D316" s="31" t="str">
        <x:v>Exodia Triumph</x:v>
      </x:c>
      <x:c r="E316" s="31" t="str">
        <x:v>equipment_type</x:v>
      </x:c>
      <x:c r="F316" s="62" t="str"/>
      <x:c r="G316" s="62" t="str">
        <x:v>Zaw Arcane</x:v>
      </x:c>
      <x:c r="H316" s="62" t="str">
        <x:v>legacy_subcategory=Exodia; reason=EQUIPMENT_COMPATIBILITY_IS_SEPARATE_FROM_LEGACY_SUBCATEGORY</x:v>
      </x:c>
      <x:c r="I316" s="62" t="str">
        <x:v>NOT_REVIEWED</x:v>
      </x:c>
      <x:c r="J316" s="62" t="str"/>
    </x:row>
    <x:row r="317">
      <x:c r="A317" s="31" t="str">
        <x:v>ARC-0092</x:v>
      </x:c>
      <x:c r="B317" s="31" t="str">
        <x:v>P2</x:v>
      </x:c>
      <x:c r="C317" s="31" t="str">
        <x:v>Exodia Triumph</x:v>
      </x:c>
      <x:c r="D317" s="31" t="str">
        <x:v>Exodia Triumph</x:v>
      </x:c>
      <x:c r="E317" s="31" t="str">
        <x:v>introduced_update</x:v>
      </x:c>
      <x:c r="F317" s="62" t="str">
        <x:v>22.0</x:v>
      </x:c>
      <x:c r="G317" s="62" t="str">
        <x:v>Update 22.0</x:v>
      </x:c>
      <x:c r="H317" s="62" t="str"/>
      <x:c r="I317" s="62" t="str">
        <x:v>NOT_REVIEWED</x:v>
      </x:c>
      <x:c r="J317" s="62" t="str"/>
    </x:row>
    <x:row r="318">
      <x:c r="A318" s="31" t="str">
        <x:v>ARC-0092</x:v>
      </x:c>
      <x:c r="B318" s="31" t="str">
        <x:v>P2</x:v>
      </x:c>
      <x:c r="C318" s="31" t="str">
        <x:v>Exodia Triumph</x:v>
      </x:c>
      <x:c r="D318" s="31" t="str">
        <x:v>Exodia Triumph</x:v>
      </x:c>
      <x:c r="E318" s="31" t="str">
        <x:v>effect_text</x:v>
      </x:c>
      <x:c r="F318" s="62" t="str">
        <x:v>Chance to make the Warframe Invulnerable for 6s</x:v>
      </x:c>
      <x:c r="G318" s="62" t="str">
        <x:v>+50% Additional Combo Count Chance</x:v>
      </x:c>
      <x:c r="H318" s="62" t="str">
        <x:v>comparison=HEURISTIC_TEXT_ONLY</x:v>
      </x:c>
      <x:c r="I318" s="62" t="str">
        <x:v>NOT_REVIEWED</x:v>
      </x:c>
      <x:c r="J318" s="62" t="str"/>
    </x:row>
    <x:row r="319">
      <x:c r="A319" s="31" t="str">
        <x:v>ARC-0093</x:v>
      </x:c>
      <x:c r="B319" s="31" t="str">
        <x:v>P2</x:v>
      </x:c>
      <x:c r="C319" s="31" t="str">
        <x:v>Exodia Valor</x:v>
      </x:c>
      <x:c r="D319" s="31" t="str">
        <x:v>Exodia Valor</x:v>
      </x:c>
      <x:c r="E319" s="31" t="str">
        <x:v>unique_name</x:v>
      </x:c>
      <x:c r="F319" s="62" t="str"/>
      <x:c r="G319" s="62" t="str">
        <x:v>/Lotus/Upgrades/CosmeticEnhancers/Offensive/CritChannelingDamage</x:v>
      </x:c>
      <x:c r="H319" s="62" t="str">
        <x:v>reason=MISSING_OR_DIFFERENT_STABLE_ID</x:v>
      </x:c>
      <x:c r="I319" s="62" t="str">
        <x:v>NOT_REVIEWED</x:v>
      </x:c>
      <x:c r="J319" s="62" t="str"/>
    </x:row>
    <x:row r="320">
      <x:c r="A320" s="31" t="str">
        <x:v>ARC-0093</x:v>
      </x:c>
      <x:c r="B320" s="31" t="str">
        <x:v>P2</x:v>
      </x:c>
      <x:c r="C320" s="31" t="str">
        <x:v>Exodia Valor</x:v>
      </x:c>
      <x:c r="D320" s="31" t="str">
        <x:v>Exodia Valor</x:v>
      </x:c>
      <x:c r="E320" s="31" t="str">
        <x:v>equipment_type</x:v>
      </x:c>
      <x:c r="F320" s="62" t="str"/>
      <x:c r="G320" s="62" t="str">
        <x:v>Zaw Arcane</x:v>
      </x:c>
      <x:c r="H320" s="62" t="str">
        <x:v>legacy_subcategory=Exodia; reason=EQUIPMENT_COMPATIBILITY_IS_SEPARATE_FROM_LEGACY_SUBCATEGORY</x:v>
      </x:c>
      <x:c r="I320" s="62" t="str">
        <x:v>NOT_REVIEWED</x:v>
      </x:c>
      <x:c r="J320" s="62" t="str"/>
    </x:row>
    <x:row r="321">
      <x:c r="A321" s="31" t="str">
        <x:v>ARC-0093</x:v>
      </x:c>
      <x:c r="B321" s="31" t="str">
        <x:v>P2</x:v>
      </x:c>
      <x:c r="C321" s="31" t="str">
        <x:v>Exodia Valor</x:v>
      </x:c>
      <x:c r="D321" s="31" t="str">
        <x:v>Exodia Valor</x:v>
      </x:c>
      <x:c r="E321" s="31" t="str">
        <x:v>introduced_update</x:v>
      </x:c>
      <x:c r="F321" s="62" t="str">
        <x:v>22.0</x:v>
      </x:c>
      <x:c r="G321" s="62" t="str">
        <x:v>Update 22.0</x:v>
      </x:c>
      <x:c r="H321" s="62" t="str"/>
      <x:c r="I321" s="62" t="str">
        <x:v>NOT_REVIEWED</x:v>
      </x:c>
      <x:c r="J321" s="62" t="str"/>
    </x:row>
    <x:row r="322">
      <x:c r="A322" s="31" t="str">
        <x:v>ARC-0093</x:v>
      </x:c>
      <x:c r="B322" s="31" t="str">
        <x:v>P2</x:v>
      </x:c>
      <x:c r="C322" s="31" t="str">
        <x:v>Exodia Valor</x:v>
      </x:c>
      <x:c r="D322" s="31" t="str">
        <x:v>Exodia Valor</x:v>
      </x:c>
      <x:c r="E322" s="31" t="str">
        <x:v>effect_text</x:v>
      </x:c>
      <x:c r="F322" s="62" t="str">
        <x:v>Chance to deal bonus Slash damage</x:v>
      </x:c>
      <x:c r="G322" s="62" t="str">
        <x:v>+200% Additional Combo Count Chance on Lifted enemies</x:v>
      </x:c>
      <x:c r="H322" s="62" t="str">
        <x:v>comparison=HEURISTIC_TEXT_ONLY</x:v>
      </x:c>
      <x:c r="I322" s="62" t="str">
        <x:v>NOT_REVIEWED</x:v>
      </x:c>
      <x:c r="J322" s="62" t="str"/>
    </x:row>
    <x:row r="323">
      <x:c r="A323" s="31" t="str">
        <x:v>ARC-0094</x:v>
      </x:c>
      <x:c r="B323" s="31" t="str">
        <x:v>P2</x:v>
      </x:c>
      <x:c r="C323" s="31" t="str">
        <x:v>Fractalized Reset</x:v>
      </x:c>
      <x:c r="D323" s="31" t="str">
        <x:v>Fractalized Reset</x:v>
      </x:c>
      <x:c r="E323" s="31" t="str">
        <x:v>unique_name</x:v>
      </x:c>
      <x:c r="F323" s="62" t="str"/>
      <x:c r="G323" s="62" t="str">
        <x:v>/Lotus/Upgrades/CosmeticEnhancers/Zariman/PrimaryOnAbilityReloadSpeed</x:v>
      </x:c>
      <x:c r="H323" s="62" t="str">
        <x:v>reason=MISSING_OR_DIFFERENT_STABLE_ID</x:v>
      </x:c>
      <x:c r="I323" s="62" t="str">
        <x:v>NOT_REVIEWED</x:v>
      </x:c>
      <x:c r="J323" s="62" t="str"/>
    </x:row>
    <x:row r="324">
      <x:c r="A324" s="31" t="str">
        <x:v>ARC-0094</x:v>
      </x:c>
      <x:c r="B324" s="31" t="str">
        <x:v>P2</x:v>
      </x:c>
      <x:c r="C324" s="31" t="str">
        <x:v>Fractalized Reset</x:v>
      </x:c>
      <x:c r="D324" s="31" t="str">
        <x:v>Fractalized Reset</x:v>
      </x:c>
      <x:c r="E324" s="31" t="str">
        <x:v>equipment_type</x:v>
      </x:c>
      <x:c r="F324" s="62" t="str"/>
      <x:c r="G324" s="62" t="str">
        <x:v>Primary Arcane</x:v>
      </x:c>
      <x:c r="H324" s="62" t="str">
        <x:v>legacy_subcategory=; reason=EQUIPMENT_COMPATIBILITY_IS_SEPARATE_FROM_LEGACY_SUBCATEGORY</x:v>
      </x:c>
      <x:c r="I324" s="62" t="str">
        <x:v>NOT_REVIEWED</x:v>
      </x:c>
      <x:c r="J324" s="62" t="str"/>
    </x:row>
    <x:row r="325">
      <x:c r="A325" s="31" t="str">
        <x:v>ARC-0094</x:v>
      </x:c>
      <x:c r="B325" s="31" t="str">
        <x:v>P2</x:v>
      </x:c>
      <x:c r="C325" s="31" t="str">
        <x:v>Fractalized Reset</x:v>
      </x:c>
      <x:c r="D325" s="31" t="str">
        <x:v>Fractalized Reset</x:v>
      </x:c>
      <x:c r="E325" s="31" t="str">
        <x:v>introduced_update</x:v>
      </x:c>
      <x:c r="F325" s="62" t="str"/>
      <x:c r="G325" s="62" t="str">
        <x:v>Update 31.5</x:v>
      </x:c>
      <x:c r="H325" s="62" t="str"/>
      <x:c r="I325" s="62" t="str">
        <x:v>NOT_REVIEWED</x:v>
      </x:c>
      <x:c r="J325" s="62" t="str"/>
    </x:row>
    <x:row r="326">
      <x:c r="A326" s="31" t="str">
        <x:v>ARC-0094</x:v>
      </x:c>
      <x:c r="B326" s="31" t="str">
        <x:v>P2</x:v>
      </x:c>
      <x:c r="C326" s="31" t="str">
        <x:v>Fractalized Reset</x:v>
      </x:c>
      <x:c r="D326" s="31" t="str">
        <x:v>Fractalized Reset</x:v>
      </x:c>
      <x:c r="E326" s="31" t="str">
        <x:v>effect_text</x:v>
      </x:c>
      <x:c r="F326" s="62" t="str"/>
      <x:c r="G326" s="62" t="str">
        <x:v>On Ability Cast:\n+240% Reload Speed for 5s</x:v>
      </x:c>
      <x:c r="H326" s="62" t="str">
        <x:v>comparison=HEURISTIC_TEXT_ONLY</x:v>
      </x:c>
      <x:c r="I326" s="62" t="str">
        <x:v>NOT_REVIEWED</x:v>
      </x:c>
      <x:c r="J326" s="62" t="str"/>
    </x:row>
    <x:row r="327">
      <x:c r="A327" s="31" t="str">
        <x:v>ARC-0095</x:v>
      </x:c>
      <x:c r="B327" s="31" t="str">
        <x:v>P2</x:v>
      </x:c>
      <x:c r="C327" s="31" t="str">
        <x:v>Longbow Sharpshot</x:v>
      </x:c>
      <x:c r="D327" s="31" t="str">
        <x:v>Longbow Sharpshot</x:v>
      </x:c>
      <x:c r="E327" s="31" t="str">
        <x:v>unique_name</x:v>
      </x:c>
      <x:c r="F327" s="62" t="str"/>
      <x:c r="G327" s="62" t="str">
        <x:v>/Lotus/Upgrades/CosmeticEnhancers/Offensive/LongbowDamageOnHeadshot</x:v>
      </x:c>
      <x:c r="H327" s="62" t="str">
        <x:v>reason=MISSING_OR_DIFFERENT_STABLE_ID</x:v>
      </x:c>
      <x:c r="I327" s="62" t="str">
        <x:v>NOT_REVIEWED</x:v>
      </x:c>
      <x:c r="J327" s="62" t="str"/>
    </x:row>
    <x:row r="328">
      <x:c r="A328" s="31" t="str">
        <x:v>ARC-0095</x:v>
      </x:c>
      <x:c r="B328" s="31" t="str">
        <x:v>P2</x:v>
      </x:c>
      <x:c r="C328" s="31" t="str">
        <x:v>Longbow Sharpshot</x:v>
      </x:c>
      <x:c r="D328" s="31" t="str">
        <x:v>Longbow Sharpshot</x:v>
      </x:c>
      <x:c r="E328" s="31" t="str">
        <x:v>equipment_type</x:v>
      </x:c>
      <x:c r="F328" s="62" t="str"/>
      <x:c r="G328" s="62" t="str">
        <x:v>Bow Arcane</x:v>
      </x:c>
      <x:c r="H328" s="62" t="str">
        <x:v>legacy_subcategory=; reason=EQUIPMENT_COMPATIBILITY_IS_SEPARATE_FROM_LEGACY_SUBCATEGORY</x:v>
      </x:c>
      <x:c r="I328" s="62" t="str">
        <x:v>NOT_REVIEWED</x:v>
      </x:c>
      <x:c r="J328" s="62" t="str"/>
    </x:row>
    <x:row r="329">
      <x:c r="A329" s="31" t="str">
        <x:v>ARC-0095</x:v>
      </x:c>
      <x:c r="B329" s="31" t="str">
        <x:v>P2</x:v>
      </x:c>
      <x:c r="C329" s="31" t="str">
        <x:v>Longbow Sharpshot</x:v>
      </x:c>
      <x:c r="D329" s="31" t="str">
        <x:v>Longbow Sharpshot</x:v>
      </x:c>
      <x:c r="E329" s="31" t="str">
        <x:v>introduced_update</x:v>
      </x:c>
      <x:c r="F329" s="62" t="str"/>
      <x:c r="G329" s="62" t="str">
        <x:v>Update 33.0</x:v>
      </x:c>
      <x:c r="H329" s="62" t="str"/>
      <x:c r="I329" s="62" t="str">
        <x:v>NOT_REVIEWED</x:v>
      </x:c>
      <x:c r="J329" s="62" t="str"/>
    </x:row>
    <x:row r="330">
      <x:c r="A330" s="31" t="str">
        <x:v>ARC-0095</x:v>
      </x:c>
      <x:c r="B330" s="31" t="str">
        <x:v>P2</x:v>
      </x:c>
      <x:c r="C330" s="31" t="str">
        <x:v>Longbow Sharpshot</x:v>
      </x:c>
      <x:c r="D330" s="31" t="str">
        <x:v>Longbow Sharpshot</x:v>
      </x:c>
      <x:c r="E330" s="31" t="str">
        <x:v>effect_text</x:v>
      </x:c>
      <x:c r="F330" s="62" t="str"/>
      <x:c r="G330" s="62" t="str">
        <x:v>On Headshot: Gain +300% damage on your next shot.</x:v>
      </x:c>
      <x:c r="H330" s="62" t="str">
        <x:v>comparison=HEURISTIC_TEXT_ONLY</x:v>
      </x:c>
      <x:c r="I330" s="62" t="str">
        <x:v>NOT_REVIEWED</x:v>
      </x:c>
      <x:c r="J330" s="62" t="str"/>
    </x:row>
    <x:row r="331">
      <x:c r="A331" s="31" t="str">
        <x:v>ARC-0096</x:v>
      </x:c>
      <x:c r="B331" s="31" t="str">
        <x:v>P2</x:v>
      </x:c>
      <x:c r="C331" s="31" t="str">
        <x:v>Magus Accelerant</x:v>
      </x:c>
      <x:c r="D331" s="31" t="str">
        <x:v>Magus Accelerant</x:v>
      </x:c>
      <x:c r="E331" s="31" t="str">
        <x:v>unique_name</x:v>
      </x:c>
      <x:c r="F331" s="62" t="str"/>
      <x:c r="G331" s="62" t="str">
        <x:v>/Lotus/Upgrades/CosmeticEnhancers/OperatorArmour/HeatResistOnBlast</x:v>
      </x:c>
      <x:c r="H331" s="62" t="str">
        <x:v>reason=MISSING_OR_DIFFERENT_STABLE_ID</x:v>
      </x:c>
      <x:c r="I331" s="62" t="str">
        <x:v>NOT_REVIEWED</x:v>
      </x:c>
      <x:c r="J331" s="62" t="str"/>
    </x:row>
    <x:row r="332">
      <x:c r="A332" s="31" t="str">
        <x:v>ARC-0096</x:v>
      </x:c>
      <x:c r="B332" s="31" t="str">
        <x:v>P2</x:v>
      </x:c>
      <x:c r="C332" s="31" t="str">
        <x:v>Magus Accelerant</x:v>
      </x:c>
      <x:c r="D332" s="31" t="str">
        <x:v>Magus Accelerant</x:v>
      </x:c>
      <x:c r="E332" s="31" t="str">
        <x:v>equipment_type</x:v>
      </x:c>
      <x:c r="F332" s="62" t="str"/>
      <x:c r="G332" s="62" t="str">
        <x:v>Operator Arcane</x:v>
      </x:c>
      <x:c r="H332" s="62" t="str">
        <x:v>legacy_subcategory=; reason=EQUIPMENT_COMPATIBILITY_IS_SEPARATE_FROM_LEGACY_SUBCATEGORY</x:v>
      </x:c>
      <x:c r="I332" s="62" t="str">
        <x:v>NOT_REVIEWED</x:v>
      </x:c>
      <x:c r="J332" s="62" t="str"/>
    </x:row>
    <x:row r="333">
      <x:c r="A333" s="31" t="str">
        <x:v>ARC-0096</x:v>
      </x:c>
      <x:c r="B333" s="31" t="str">
        <x:v>P2</x:v>
      </x:c>
      <x:c r="C333" s="31" t="str">
        <x:v>Magus Accelerant</x:v>
      </x:c>
      <x:c r="D333" s="31" t="str">
        <x:v>Magus Accelerant</x:v>
      </x:c>
      <x:c r="E333" s="31" t="str">
        <x:v>introduced_update</x:v>
      </x:c>
      <x:c r="F333" s="62" t="str"/>
      <x:c r="G333" s="62" t="str">
        <x:v>Update 24.2</x:v>
      </x:c>
      <x:c r="H333" s="62" t="str"/>
      <x:c r="I333" s="62" t="str">
        <x:v>NOT_REVIEWED</x:v>
      </x:c>
      <x:c r="J333" s="62" t="str"/>
    </x:row>
    <x:row r="334">
      <x:c r="A334" s="31" t="str">
        <x:v>ARC-0096</x:v>
      </x:c>
      <x:c r="B334" s="31" t="str">
        <x:v>P2</x:v>
      </x:c>
      <x:c r="C334" s="31" t="str">
        <x:v>Magus Accelerant</x:v>
      </x:c>
      <x:c r="D334" s="31" t="str">
        <x:v>Magus Accelerant</x:v>
      </x:c>
      <x:c r="E334" s="31" t="str">
        <x:v>effect_text</x:v>
      </x:c>
      <x:c r="F334" s="62" t="str"/>
      <x:c r="G334" s="62" t="str">
        <x:v>On Void Sling:\nReduce Enemy Resistance to &lt;DT_FIRE_COLOR&gt;Heat Damage by 65%.</x:v>
      </x:c>
      <x:c r="H334" s="62" t="str">
        <x:v>comparison=HEURISTIC_TEXT_ONLY</x:v>
      </x:c>
      <x:c r="I334" s="62" t="str">
        <x:v>NOT_REVIEWED</x:v>
      </x:c>
      <x:c r="J334" s="62" t="str"/>
    </x:row>
    <x:row r="335">
      <x:c r="A335" s="31" t="str">
        <x:v>ARC-0097</x:v>
      </x:c>
      <x:c r="B335" s="31" t="str">
        <x:v>P2</x:v>
      </x:c>
      <x:c r="C335" s="31" t="str">
        <x:v>Magus Aggress</x:v>
      </x:c>
      <x:c r="D335" s="31" t="str">
        <x:v>Magus Aggress</x:v>
      </x:c>
      <x:c r="E335" s="31" t="str">
        <x:v>unique_name</x:v>
      </x:c>
      <x:c r="F335" s="62" t="str"/>
      <x:c r="G335" s="62" t="str">
        <x:v>/Lotus/Upgrades/CosmeticEnhancers/Offensive/OperatorHeavyMeleeDamageOnTransference</x:v>
      </x:c>
      <x:c r="H335" s="62" t="str">
        <x:v>reason=MISSING_OR_DIFFERENT_STABLE_ID</x:v>
      </x:c>
      <x:c r="I335" s="62" t="str">
        <x:v>NOT_REVIEWED</x:v>
      </x:c>
      <x:c r="J335" s="62" t="str"/>
    </x:row>
    <x:row r="336">
      <x:c r="A336" s="31" t="str">
        <x:v>ARC-0097</x:v>
      </x:c>
      <x:c r="B336" s="31" t="str">
        <x:v>P2</x:v>
      </x:c>
      <x:c r="C336" s="31" t="str">
        <x:v>Magus Aggress</x:v>
      </x:c>
      <x:c r="D336" s="31" t="str">
        <x:v>Magus Aggress</x:v>
      </x:c>
      <x:c r="E336" s="31" t="str">
        <x:v>equipment_type</x:v>
      </x:c>
      <x:c r="F336" s="62" t="str"/>
      <x:c r="G336" s="62" t="str">
        <x:v>Operator Arcane</x:v>
      </x:c>
      <x:c r="H336" s="62" t="str">
        <x:v>legacy_subcategory=; reason=EQUIPMENT_COMPATIBILITY_IS_SEPARATE_FROM_LEGACY_SUBCATEGORY</x:v>
      </x:c>
      <x:c r="I336" s="62" t="str">
        <x:v>NOT_REVIEWED</x:v>
      </x:c>
      <x:c r="J336" s="62" t="str"/>
    </x:row>
    <x:row r="337">
      <x:c r="A337" s="31" t="str">
        <x:v>ARC-0097</x:v>
      </x:c>
      <x:c r="B337" s="31" t="str">
        <x:v>P2</x:v>
      </x:c>
      <x:c r="C337" s="31" t="str">
        <x:v>Magus Aggress</x:v>
      </x:c>
      <x:c r="D337" s="31" t="str">
        <x:v>Magus Aggress</x:v>
      </x:c>
      <x:c r="E337" s="31" t="str">
        <x:v>introduced_update</x:v>
      </x:c>
      <x:c r="F337" s="62" t="str"/>
      <x:c r="G337" s="62" t="str">
        <x:v>Update 33.0</x:v>
      </x:c>
      <x:c r="H337" s="62" t="str"/>
      <x:c r="I337" s="62" t="str">
        <x:v>NOT_REVIEWED</x:v>
      </x:c>
      <x:c r="J337" s="62" t="str"/>
    </x:row>
    <x:row r="338">
      <x:c r="A338" s="31" t="str">
        <x:v>ARC-0097</x:v>
      </x:c>
      <x:c r="B338" s="31" t="str">
        <x:v>P2</x:v>
      </x:c>
      <x:c r="C338" s="31" t="str">
        <x:v>Magus Aggress</x:v>
      </x:c>
      <x:c r="D338" s="31" t="str">
        <x:v>Magus Aggress</x:v>
      </x:c>
      <x:c r="E338" s="31" t="str">
        <x:v>effect_text</x:v>
      </x:c>
      <x:c r="F338" s="62" t="str"/>
      <x:c r="G338" s="62" t="str">
        <x:v>On Warframe Melee Transference: Heavy Blades deal +300% Critical Damage for 4 consecutive attacks. Cooldown 20s.</x:v>
      </x:c>
      <x:c r="H338" s="62" t="str">
        <x:v>comparison=HEURISTIC_TEXT_ONLY</x:v>
      </x:c>
      <x:c r="I338" s="62" t="str">
        <x:v>NOT_REVIEWED</x:v>
      </x:c>
      <x:c r="J338" s="62" t="str"/>
    </x:row>
    <x:row r="339">
      <x:c r="A339" s="31" t="str">
        <x:v>ARC-0098</x:v>
      </x:c>
      <x:c r="B339" s="31" t="str">
        <x:v>P2</x:v>
      </x:c>
      <x:c r="C339" s="31" t="str">
        <x:v>Magus Anomaly</x:v>
      </x:c>
      <x:c r="D339" s="31" t="str">
        <x:v>Magus Anomaly</x:v>
      </x:c>
      <x:c r="E339" s="31" t="str">
        <x:v>unique_name</x:v>
      </x:c>
      <x:c r="F339" s="62" t="str"/>
      <x:c r="G339" s="62" t="str">
        <x:v>/Lotus/Upgrades/CosmeticEnhancers/OperatorArmour/PullOnTransferenceIn</x:v>
      </x:c>
      <x:c r="H339" s="62" t="str">
        <x:v>reason=MISSING_OR_DIFFERENT_STABLE_ID</x:v>
      </x:c>
      <x:c r="I339" s="62" t="str">
        <x:v>NOT_REVIEWED</x:v>
      </x:c>
      <x:c r="J339" s="62" t="str"/>
    </x:row>
    <x:row r="340">
      <x:c r="A340" s="31" t="str">
        <x:v>ARC-0098</x:v>
      </x:c>
      <x:c r="B340" s="31" t="str">
        <x:v>P2</x:v>
      </x:c>
      <x:c r="C340" s="31" t="str">
        <x:v>Magus Anomaly</x:v>
      </x:c>
      <x:c r="D340" s="31" t="str">
        <x:v>Magus Anomaly</x:v>
      </x:c>
      <x:c r="E340" s="31" t="str">
        <x:v>equipment_type</x:v>
      </x:c>
      <x:c r="F340" s="62" t="str"/>
      <x:c r="G340" s="62" t="str">
        <x:v>Operator Arcane</x:v>
      </x:c>
      <x:c r="H340" s="62" t="str">
        <x:v>legacy_subcategory=Magus; reason=EQUIPMENT_COMPATIBILITY_IS_SEPARATE_FROM_LEGACY_SUBCATEGORY</x:v>
      </x:c>
      <x:c r="I340" s="62" t="str">
        <x:v>NOT_REVIEWED</x:v>
      </x:c>
      <x:c r="J340" s="62" t="str"/>
    </x:row>
    <x:row r="341">
      <x:c r="A341" s="31" t="str">
        <x:v>ARC-0098</x:v>
      </x:c>
      <x:c r="B341" s="31" t="str">
        <x:v>P2</x:v>
      </x:c>
      <x:c r="C341" s="31" t="str">
        <x:v>Magus Anomaly</x:v>
      </x:c>
      <x:c r="D341" s="31" t="str">
        <x:v>Magus Anomaly</x:v>
      </x:c>
      <x:c r="E341" s="31" t="str">
        <x:v>introduced_update</x:v>
      </x:c>
      <x:c r="F341" s="62" t="str">
        <x:v>22.0</x:v>
      </x:c>
      <x:c r="G341" s="62" t="str">
        <x:v>Update 24.2</x:v>
      </x:c>
      <x:c r="H341" s="62" t="str"/>
      <x:c r="I341" s="62" t="str">
        <x:v>NOT_REVIEWED</x:v>
      </x:c>
      <x:c r="J341" s="62" t="str"/>
    </x:row>
    <x:row r="342">
      <x:c r="A342" s="31" t="str">
        <x:v>ARC-0098</x:v>
      </x:c>
      <x:c r="B342" s="31" t="str">
        <x:v>P2</x:v>
      </x:c>
      <x:c r="C342" s="31" t="str">
        <x:v>Magus Anomaly</x:v>
      </x:c>
      <x:c r="D342" s="31" t="str">
        <x:v>Magus Anomaly</x:v>
      </x:c>
      <x:c r="E342" s="31" t="str">
        <x:v>effect_text</x:v>
      </x:c>
      <x:c r="F342" s="62" t="str">
        <x:v>Summon a vortex that draws enemies in for 6s</x:v>
      </x:c>
      <x:c r="G342" s="62" t="str">
        <x:v>On Transference In:\nEnemies within 30m are pulled towards Warframe. </x:v>
      </x:c>
      <x:c r="H342" s="62" t="str">
        <x:v>comparison=HEURISTIC_TEXT_ONLY</x:v>
      </x:c>
      <x:c r="I342" s="62" t="str">
        <x:v>NOT_REVIEWED</x:v>
      </x:c>
      <x:c r="J342" s="62" t="str"/>
    </x:row>
    <x:row r="343">
      <x:c r="A343" s="31" t="str">
        <x:v>ARC-0099</x:v>
      </x:c>
      <x:c r="B343" s="31" t="str">
        <x:v>P2</x:v>
      </x:c>
      <x:c r="C343" s="31" t="str">
        <x:v>Magus Cadence</x:v>
      </x:c>
      <x:c r="D343" s="31" t="str">
        <x:v>Magus Cadence</x:v>
      </x:c>
      <x:c r="E343" s="31" t="str">
        <x:v>unique_name</x:v>
      </x:c>
      <x:c r="F343" s="62" t="str"/>
      <x:c r="G343" s="62" t="str">
        <x:v>/Lotus/Upgrades/CosmeticEnhancers/OperatorArmour/SpeedOnVoidDash</x:v>
      </x:c>
      <x:c r="H343" s="62" t="str">
        <x:v>reason=MISSING_OR_DIFFERENT_STABLE_ID</x:v>
      </x:c>
      <x:c r="I343" s="62" t="str">
        <x:v>NOT_REVIEWED</x:v>
      </x:c>
      <x:c r="J343" s="62" t="str"/>
    </x:row>
    <x:row r="344">
      <x:c r="A344" s="31" t="str">
        <x:v>ARC-0099</x:v>
      </x:c>
      <x:c r="B344" s="31" t="str">
        <x:v>P2</x:v>
      </x:c>
      <x:c r="C344" s="31" t="str">
        <x:v>Magus Cadence</x:v>
      </x:c>
      <x:c r="D344" s="31" t="str">
        <x:v>Magus Cadence</x:v>
      </x:c>
      <x:c r="E344" s="31" t="str">
        <x:v>equipment_type</x:v>
      </x:c>
      <x:c r="F344" s="62" t="str"/>
      <x:c r="G344" s="62" t="str">
        <x:v>Operator Arcane</x:v>
      </x:c>
      <x:c r="H344" s="62" t="str">
        <x:v>legacy_subcategory=; reason=EQUIPMENT_COMPATIBILITY_IS_SEPARATE_FROM_LEGACY_SUBCATEGORY</x:v>
      </x:c>
      <x:c r="I344" s="62" t="str">
        <x:v>NOT_REVIEWED</x:v>
      </x:c>
      <x:c r="J344" s="62" t="str"/>
    </x:row>
    <x:row r="345">
      <x:c r="A345" s="31" t="str">
        <x:v>ARC-0099</x:v>
      </x:c>
      <x:c r="B345" s="31" t="str">
        <x:v>P2</x:v>
      </x:c>
      <x:c r="C345" s="31" t="str">
        <x:v>Magus Cadence</x:v>
      </x:c>
      <x:c r="D345" s="31" t="str">
        <x:v>Magus Cadence</x:v>
      </x:c>
      <x:c r="E345" s="31" t="str">
        <x:v>introduced_update</x:v>
      </x:c>
      <x:c r="F345" s="62" t="str"/>
      <x:c r="G345" s="62" t="str">
        <x:v>Update 22.0</x:v>
      </x:c>
      <x:c r="H345" s="62" t="str"/>
      <x:c r="I345" s="62" t="str">
        <x:v>NOT_REVIEWED</x:v>
      </x:c>
      <x:c r="J345" s="62" t="str"/>
    </x:row>
    <x:row r="346">
      <x:c r="A346" s="31" t="str">
        <x:v>ARC-0099</x:v>
      </x:c>
      <x:c r="B346" s="31" t="str">
        <x:v>P2</x:v>
      </x:c>
      <x:c r="C346" s="31" t="str">
        <x:v>Magus Cadence</x:v>
      </x:c>
      <x:c r="D346" s="31" t="str">
        <x:v>Magus Cadence</x:v>
      </x:c>
      <x:c r="E346" s="31" t="str">
        <x:v>tradable</x:v>
      </x:c>
      <x:c r="F346" s="62" t="str">
        <x:v>false</x:v>
      </x:c>
      <x:c r="G346" s="62" t="str">
        <x:v>true</x:v>
      </x:c>
      <x:c r="H346" s="62" t="str"/>
      <x:c r="I346" s="62" t="str">
        <x:v>NOT_REVIEWED</x:v>
      </x:c>
      <x:c r="J346" s="62" t="str"/>
    </x:row>
    <x:row r="347">
      <x:c r="A347" s="31" t="str">
        <x:v>ARC-0099</x:v>
      </x:c>
      <x:c r="B347" s="31" t="str">
        <x:v>P2</x:v>
      </x:c>
      <x:c r="C347" s="31" t="str">
        <x:v>Magus Cadence</x:v>
      </x:c>
      <x:c r="D347" s="31" t="str">
        <x:v>Magus Cadence</x:v>
      </x:c>
      <x:c r="E347" s="31" t="str">
        <x:v>effect_text</x:v>
      </x:c>
      <x:c r="F347" s="62" t="str"/>
      <x:c r="G347" s="62" t="str">
        <x:v>On Void Sling:\n+90% Sprint Speed for 12s</x:v>
      </x:c>
      <x:c r="H347" s="62" t="str">
        <x:v>comparison=HEURISTIC_TEXT_ONLY</x:v>
      </x:c>
      <x:c r="I347" s="62" t="str">
        <x:v>NOT_REVIEWED</x:v>
      </x:c>
      <x:c r="J347" s="62" t="str"/>
    </x:row>
    <x:row r="348">
      <x:c r="A348" s="31" t="str">
        <x:v>ARC-0100</x:v>
      </x:c>
      <x:c r="B348" s="31" t="str">
        <x:v>P2</x:v>
      </x:c>
      <x:c r="C348" s="31" t="str">
        <x:v>Magus Cloud</x:v>
      </x:c>
      <x:c r="D348" s="31" t="str">
        <x:v>Magus Cloud</x:v>
      </x:c>
      <x:c r="E348" s="31" t="str">
        <x:v>unique_name</x:v>
      </x:c>
      <x:c r="F348" s="62" t="str"/>
      <x:c r="G348" s="62" t="str">
        <x:v>/Lotus/Upgrades/CosmeticEnhancers/OperatorArmour/ImmunityFallDamageOnVoidDash</x:v>
      </x:c>
      <x:c r="H348" s="62" t="str">
        <x:v>reason=MISSING_OR_DIFFERENT_STABLE_ID</x:v>
      </x:c>
      <x:c r="I348" s="62" t="str">
        <x:v>NOT_REVIEWED</x:v>
      </x:c>
      <x:c r="J348" s="62" t="str"/>
    </x:row>
    <x:row r="349">
      <x:c r="A349" s="31" t="str">
        <x:v>ARC-0100</x:v>
      </x:c>
      <x:c r="B349" s="31" t="str">
        <x:v>P2</x:v>
      </x:c>
      <x:c r="C349" s="31" t="str">
        <x:v>Magus Cloud</x:v>
      </x:c>
      <x:c r="D349" s="31" t="str">
        <x:v>Magus Cloud</x:v>
      </x:c>
      <x:c r="E349" s="31" t="str">
        <x:v>equipment_type</x:v>
      </x:c>
      <x:c r="F349" s="62" t="str"/>
      <x:c r="G349" s="62" t="str">
        <x:v>Operator Arcane</x:v>
      </x:c>
      <x:c r="H349" s="62" t="str">
        <x:v>legacy_subcategory=Magus; reason=EQUIPMENT_COMPATIBILITY_IS_SEPARATE_FROM_LEGACY_SUBCATEGORY</x:v>
      </x:c>
      <x:c r="I349" s="62" t="str">
        <x:v>NOT_REVIEWED</x:v>
      </x:c>
      <x:c r="J349" s="62" t="str"/>
    </x:row>
    <x:row r="350">
      <x:c r="A350" s="31" t="str">
        <x:v>ARC-0100</x:v>
      </x:c>
      <x:c r="B350" s="31" t="str">
        <x:v>P2</x:v>
      </x:c>
      <x:c r="C350" s="31" t="str">
        <x:v>Magus Cloud</x:v>
      </x:c>
      <x:c r="D350" s="31" t="str">
        <x:v>Magus Cloud</x:v>
      </x:c>
      <x:c r="E350" s="31" t="str">
        <x:v>introduced_update</x:v>
      </x:c>
      <x:c r="F350" s="62" t="str">
        <x:v>22.0</x:v>
      </x:c>
      <x:c r="G350" s="62" t="str">
        <x:v>Update 22.0</x:v>
      </x:c>
      <x:c r="H350" s="62" t="str"/>
      <x:c r="I350" s="62" t="str">
        <x:v>NOT_REVIEWED</x:v>
      </x:c>
      <x:c r="J350" s="62" t="str"/>
    </x:row>
    <x:row r="351">
      <x:c r="A351" s="31" t="str">
        <x:v>ARC-0100</x:v>
      </x:c>
      <x:c r="B351" s="31" t="str">
        <x:v>P2</x:v>
      </x:c>
      <x:c r="C351" s="31" t="str">
        <x:v>Magus Cloud</x:v>
      </x:c>
      <x:c r="D351" s="31" t="str">
        <x:v>Magus Cloud</x:v>
      </x:c>
      <x:c r="E351" s="31" t="str">
        <x:v>effect_text</x:v>
      </x:c>
      <x:c r="F351" s="62" t="str">
        <x:v>Leave a Cold cloud at dash origin point</x:v>
      </x:c>
      <x:c r="G351" s="62" t="str">
        <x:v>On Void Mode:\n+300% Void Sling Radius for 6s</x:v>
      </x:c>
      <x:c r="H351" s="62" t="str">
        <x:v>comparison=HEURISTIC_TEXT_ONLY</x:v>
      </x:c>
      <x:c r="I351" s="62" t="str">
        <x:v>NOT_REVIEWED</x:v>
      </x:c>
      <x:c r="J351" s="62" t="str"/>
    </x:row>
    <x:row r="352">
      <x:c r="A352" s="31" t="str">
        <x:v>ARC-0101</x:v>
      </x:c>
      <x:c r="B352" s="31" t="str">
        <x:v>P2</x:v>
      </x:c>
      <x:c r="C352" s="31" t="str">
        <x:v>Magus Destruct</x:v>
      </x:c>
      <x:c r="D352" s="31" t="str">
        <x:v>Magus Destruct</x:v>
      </x:c>
      <x:c r="E352" s="31" t="str">
        <x:v>unique_name</x:v>
      </x:c>
      <x:c r="F352" s="62" t="str"/>
      <x:c r="G352" s="62" t="str">
        <x:v>/Lotus/Upgrades/CosmeticEnhancers/OperatorArmour/ProcResistOnBlast</x:v>
      </x:c>
      <x:c r="H352" s="62" t="str">
        <x:v>reason=MISSING_OR_DIFFERENT_STABLE_ID</x:v>
      </x:c>
      <x:c r="I352" s="62" t="str">
        <x:v>NOT_REVIEWED</x:v>
      </x:c>
      <x:c r="J352" s="62" t="str"/>
    </x:row>
    <x:row r="353">
      <x:c r="A353" s="31" t="str">
        <x:v>ARC-0101</x:v>
      </x:c>
      <x:c r="B353" s="31" t="str">
        <x:v>P2</x:v>
      </x:c>
      <x:c r="C353" s="31" t="str">
        <x:v>Magus Destruct</x:v>
      </x:c>
      <x:c r="D353" s="31" t="str">
        <x:v>Magus Destruct</x:v>
      </x:c>
      <x:c r="E353" s="31" t="str">
        <x:v>equipment_type</x:v>
      </x:c>
      <x:c r="F353" s="62" t="str"/>
      <x:c r="G353" s="62" t="str">
        <x:v>Operator Arcane</x:v>
      </x:c>
      <x:c r="H353" s="62" t="str">
        <x:v>legacy_subcategory=; reason=EQUIPMENT_COMPATIBILITY_IS_SEPARATE_FROM_LEGACY_SUBCATEGORY</x:v>
      </x:c>
      <x:c r="I353" s="62" t="str">
        <x:v>NOT_REVIEWED</x:v>
      </x:c>
      <x:c r="J353" s="62" t="str"/>
    </x:row>
    <x:row r="354">
      <x:c r="A354" s="31" t="str">
        <x:v>ARC-0101</x:v>
      </x:c>
      <x:c r="B354" s="31" t="str">
        <x:v>P2</x:v>
      </x:c>
      <x:c r="C354" s="31" t="str">
        <x:v>Magus Destruct</x:v>
      </x:c>
      <x:c r="D354" s="31" t="str">
        <x:v>Magus Destruct</x:v>
      </x:c>
      <x:c r="E354" s="31" t="str">
        <x:v>introduced_update</x:v>
      </x:c>
      <x:c r="F354" s="62" t="str"/>
      <x:c r="G354" s="62" t="str">
        <x:v>Update 24.2</x:v>
      </x:c>
      <x:c r="H354" s="62" t="str"/>
      <x:c r="I354" s="62" t="str">
        <x:v>NOT_REVIEWED</x:v>
      </x:c>
      <x:c r="J354" s="62" t="str"/>
    </x:row>
    <x:row r="355">
      <x:c r="A355" s="31" t="str">
        <x:v>ARC-0101</x:v>
      </x:c>
      <x:c r="B355" s="31" t="str">
        <x:v>P2</x:v>
      </x:c>
      <x:c r="C355" s="31" t="str">
        <x:v>Magus Destruct</x:v>
      </x:c>
      <x:c r="D355" s="31" t="str">
        <x:v>Magus Destruct</x:v>
      </x:c>
      <x:c r="E355" s="31" t="str">
        <x:v>effect_text</x:v>
      </x:c>
      <x:c r="F355" s="62" t="str"/>
      <x:c r="G355" s="62" t="str">
        <x:v>On Void Sling:\nReduce Enemy Resistance to &lt;DT_PUNCTURE_COLOR&gt;Puncture Damage by 65%.</x:v>
      </x:c>
      <x:c r="H355" s="62" t="str">
        <x:v>comparison=HEURISTIC_TEXT_ONLY</x:v>
      </x:c>
      <x:c r="I355" s="62" t="str">
        <x:v>NOT_REVIEWED</x:v>
      </x:c>
      <x:c r="J355" s="62" t="str"/>
    </x:row>
    <x:row r="356">
      <x:c r="A356" s="31" t="str">
        <x:v>ARC-0102</x:v>
      </x:c>
      <x:c r="B356" s="31" t="str">
        <x:v>P2</x:v>
      </x:c>
      <x:c r="C356" s="31" t="str">
        <x:v>Magus Drive</x:v>
      </x:c>
      <x:c r="D356" s="31" t="str">
        <x:v>Magus Drive</x:v>
      </x:c>
      <x:c r="E356" s="31" t="str">
        <x:v>unique_name</x:v>
      </x:c>
      <x:c r="F356" s="62" t="str"/>
      <x:c r="G356" s="62" t="str">
        <x:v>/Lotus/Upgrades/CosmeticEnhancers/OperatorArmour/HoverboardSpeedOnTransferenceIn</x:v>
      </x:c>
      <x:c r="H356" s="62" t="str">
        <x:v>reason=MISSING_OR_DIFFERENT_STABLE_ID</x:v>
      </x:c>
      <x:c r="I356" s="62" t="str">
        <x:v>NOT_REVIEWED</x:v>
      </x:c>
      <x:c r="J356" s="62" t="str"/>
    </x:row>
    <x:row r="357">
      <x:c r="A357" s="31" t="str">
        <x:v>ARC-0102</x:v>
      </x:c>
      <x:c r="B357" s="31" t="str">
        <x:v>P2</x:v>
      </x:c>
      <x:c r="C357" s="31" t="str">
        <x:v>Magus Drive</x:v>
      </x:c>
      <x:c r="D357" s="31" t="str">
        <x:v>Magus Drive</x:v>
      </x:c>
      <x:c r="E357" s="31" t="str">
        <x:v>equipment_type</x:v>
      </x:c>
      <x:c r="F357" s="62" t="str"/>
      <x:c r="G357" s="62" t="str">
        <x:v>Operator Arcane</x:v>
      </x:c>
      <x:c r="H357" s="62" t="str">
        <x:v>legacy_subcategory=; reason=EQUIPMENT_COMPATIBILITY_IS_SEPARATE_FROM_LEGACY_SUBCATEGORY</x:v>
      </x:c>
      <x:c r="I357" s="62" t="str">
        <x:v>NOT_REVIEWED</x:v>
      </x:c>
      <x:c r="J357" s="62" t="str"/>
    </x:row>
    <x:row r="358">
      <x:c r="A358" s="31" t="str">
        <x:v>ARC-0102</x:v>
      </x:c>
      <x:c r="B358" s="31" t="str">
        <x:v>P2</x:v>
      </x:c>
      <x:c r="C358" s="31" t="str">
        <x:v>Magus Drive</x:v>
      </x:c>
      <x:c r="D358" s="31" t="str">
        <x:v>Magus Drive</x:v>
      </x:c>
      <x:c r="E358" s="31" t="str">
        <x:v>introduced_update</x:v>
      </x:c>
      <x:c r="F358" s="62" t="str"/>
      <x:c r="G358" s="62" t="str">
        <x:v>Update 24.2</x:v>
      </x:c>
      <x:c r="H358" s="62" t="str"/>
      <x:c r="I358" s="62" t="str">
        <x:v>NOT_REVIEWED</x:v>
      </x:c>
      <x:c r="J358" s="62" t="str"/>
    </x:row>
    <x:row r="359">
      <x:c r="A359" s="31" t="str">
        <x:v>ARC-0102</x:v>
      </x:c>
      <x:c r="B359" s="31" t="str">
        <x:v>P2</x:v>
      </x:c>
      <x:c r="C359" s="31" t="str">
        <x:v>Magus Drive</x:v>
      </x:c>
      <x:c r="D359" s="31" t="str">
        <x:v>Magus Drive</x:v>
      </x:c>
      <x:c r="E359" s="31" t="str">
        <x:v>effect_text</x:v>
      </x:c>
      <x:c r="F359" s="62" t="str"/>
      <x:c r="G359" s="62" t="str">
        <x:v>On Transference In:\nIncrease K-Drive Speed by 150% for 30s.</x:v>
      </x:c>
      <x:c r="H359" s="62" t="str">
        <x:v>comparison=HEURISTIC_TEXT_ONLY</x:v>
      </x:c>
      <x:c r="I359" s="62" t="str">
        <x:v>NOT_REVIEWED</x:v>
      </x:c>
      <x:c r="J359" s="62" t="str"/>
    </x:row>
    <x:row r="360">
      <x:c r="A360" s="31" t="str">
        <x:v>ARC-0103</x:v>
      </x:c>
      <x:c r="B360" s="31" t="str">
        <x:v>P2</x:v>
      </x:c>
      <x:c r="C360" s="31" t="str">
        <x:v>Magus Elevate</x:v>
      </x:c>
      <x:c r="D360" s="31" t="str">
        <x:v>Magus Elevate</x:v>
      </x:c>
      <x:c r="E360" s="31" t="str">
        <x:v>unique_name</x:v>
      </x:c>
      <x:c r="F360" s="62" t="str"/>
      <x:c r="G360" s="62" t="str">
        <x:v>/Lotus/Upgrades/CosmeticEnhancers/OperatorArmour/HealOnTransferenceIn</x:v>
      </x:c>
      <x:c r="H360" s="62" t="str">
        <x:v>reason=MISSING_OR_DIFFERENT_STABLE_ID</x:v>
      </x:c>
      <x:c r="I360" s="62" t="str">
        <x:v>NOT_REVIEWED</x:v>
      </x:c>
      <x:c r="J360" s="62" t="str"/>
    </x:row>
    <x:row r="361">
      <x:c r="A361" s="31" t="str">
        <x:v>ARC-0103</x:v>
      </x:c>
      <x:c r="B361" s="31" t="str">
        <x:v>P2</x:v>
      </x:c>
      <x:c r="C361" s="31" t="str">
        <x:v>Magus Elevate</x:v>
      </x:c>
      <x:c r="D361" s="31" t="str">
        <x:v>Magus Elevate</x:v>
      </x:c>
      <x:c r="E361" s="31" t="str">
        <x:v>equipment_type</x:v>
      </x:c>
      <x:c r="F361" s="62" t="str"/>
      <x:c r="G361" s="62" t="str">
        <x:v>Operator Arcane</x:v>
      </x:c>
      <x:c r="H361" s="62" t="str">
        <x:v>legacy_subcategory=Magus; reason=EQUIPMENT_COMPATIBILITY_IS_SEPARATE_FROM_LEGACY_SUBCATEGORY</x:v>
      </x:c>
      <x:c r="I361" s="62" t="str">
        <x:v>NOT_REVIEWED</x:v>
      </x:c>
      <x:c r="J361" s="62" t="str"/>
    </x:row>
    <x:row r="362">
      <x:c r="A362" s="31" t="str">
        <x:v>ARC-0103</x:v>
      </x:c>
      <x:c r="B362" s="31" t="str">
        <x:v>P2</x:v>
      </x:c>
      <x:c r="C362" s="31" t="str">
        <x:v>Magus Elevate</x:v>
      </x:c>
      <x:c r="D362" s="31" t="str">
        <x:v>Magus Elevate</x:v>
      </x:c>
      <x:c r="E362" s="31" t="str">
        <x:v>introduced_update</x:v>
      </x:c>
      <x:c r="F362" s="62" t="str">
        <x:v>22.0</x:v>
      </x:c>
      <x:c r="G362" s="62" t="str">
        <x:v>Update 22.0</x:v>
      </x:c>
      <x:c r="H362" s="62" t="str"/>
      <x:c r="I362" s="62" t="str">
        <x:v>NOT_REVIEWED</x:v>
      </x:c>
      <x:c r="J362" s="62" t="str"/>
    </x:row>
    <x:row r="363">
      <x:c r="A363" s="31" t="str">
        <x:v>ARC-0103</x:v>
      </x:c>
      <x:c r="B363" s="31" t="str">
        <x:v>P2</x:v>
      </x:c>
      <x:c r="C363" s="31" t="str">
        <x:v>Magus Elevate</x:v>
      </x:c>
      <x:c r="D363" s="31" t="str">
        <x:v>Magus Elevate</x:v>
      </x:c>
      <x:c r="E363" s="31" t="str">
        <x:v>effect_text</x:v>
      </x:c>
      <x:c r="F363" s="62" t="str">
        <x:v>Restore 150 HP to Warframe on Transference-in</x:v>
      </x:c>
      <x:c r="G363" s="62" t="str">
        <x:v>On Transference In:\n95% chance to restore 300 Health to Warframe</x:v>
      </x:c>
      <x:c r="H363" s="62" t="str">
        <x:v>comparison=HEURISTIC_TEXT_ONLY</x:v>
      </x:c>
      <x:c r="I363" s="62" t="str">
        <x:v>NOT_REVIEWED</x:v>
      </x:c>
      <x:c r="J363" s="62" t="str"/>
    </x:row>
    <x:row r="364">
      <x:c r="A364" s="31" t="str">
        <x:v>ARC-0104</x:v>
      </x:c>
      <x:c r="B364" s="31" t="str">
        <x:v>P2</x:v>
      </x:c>
      <x:c r="C364" s="31" t="str">
        <x:v>Magus Firewall</x:v>
      </x:c>
      <x:c r="D364" s="31" t="str">
        <x:v>Magus Firewall</x:v>
      </x:c>
      <x:c r="E364" s="31" t="str">
        <x:v>unique_name</x:v>
      </x:c>
      <x:c r="F364" s="62" t="str"/>
      <x:c r="G364" s="62" t="str">
        <x:v>/Lotus/Upgrades/CosmeticEnhancers/OperatorArmour/DamageReductionOnVoidMode</x:v>
      </x:c>
      <x:c r="H364" s="62" t="str">
        <x:v>reason=MISSING_OR_DIFFERENT_STABLE_ID</x:v>
      </x:c>
      <x:c r="I364" s="62" t="str">
        <x:v>NOT_REVIEWED</x:v>
      </x:c>
      <x:c r="J364" s="62" t="str"/>
    </x:row>
    <x:row r="365">
      <x:c r="A365" s="31" t="str">
        <x:v>ARC-0104</x:v>
      </x:c>
      <x:c r="B365" s="31" t="str">
        <x:v>P2</x:v>
      </x:c>
      <x:c r="C365" s="31" t="str">
        <x:v>Magus Firewall</x:v>
      </x:c>
      <x:c r="D365" s="31" t="str">
        <x:v>Magus Firewall</x:v>
      </x:c>
      <x:c r="E365" s="31" t="str">
        <x:v>equipment_type</x:v>
      </x:c>
      <x:c r="F365" s="62" t="str"/>
      <x:c r="G365" s="62" t="str">
        <x:v>Operator Arcane</x:v>
      </x:c>
      <x:c r="H365" s="62" t="str">
        <x:v>legacy_subcategory=Magus; reason=EQUIPMENT_COMPATIBILITY_IS_SEPARATE_FROM_LEGACY_SUBCATEGORY</x:v>
      </x:c>
      <x:c r="I365" s="62" t="str">
        <x:v>NOT_REVIEWED</x:v>
      </x:c>
      <x:c r="J365" s="62" t="str"/>
    </x:row>
    <x:row r="366">
      <x:c r="A366" s="31" t="str">
        <x:v>ARC-0104</x:v>
      </x:c>
      <x:c r="B366" s="31" t="str">
        <x:v>P2</x:v>
      </x:c>
      <x:c r="C366" s="31" t="str">
        <x:v>Magus Firewall</x:v>
      </x:c>
      <x:c r="D366" s="31" t="str">
        <x:v>Magus Firewall</x:v>
      </x:c>
      <x:c r="E366" s="31" t="str">
        <x:v>introduced_update</x:v>
      </x:c>
      <x:c r="F366" s="62" t="str">
        <x:v>22.0</x:v>
      </x:c>
      <x:c r="G366" s="62" t="str">
        <x:v>Update 24.2</x:v>
      </x:c>
      <x:c r="H366" s="62" t="str"/>
      <x:c r="I366" s="62" t="str">
        <x:v>NOT_REVIEWED</x:v>
      </x:c>
      <x:c r="J366" s="62" t="str"/>
    </x:row>
    <x:row r="367">
      <x:c r="A367" s="31" t="str">
        <x:v>ARC-0104</x:v>
      </x:c>
      <x:c r="B367" s="31" t="str">
        <x:v>P2</x:v>
      </x:c>
      <x:c r="C367" s="31" t="str">
        <x:v>Magus Firewall</x:v>
      </x:c>
      <x:c r="D367" s="31" t="str">
        <x:v>Magus Firewall</x:v>
      </x:c>
      <x:c r="E367" s="31" t="str">
        <x:v>effect_text</x:v>
      </x:c>
      <x:c r="F367" s="62" t="str">
        <x:v>Warframe gains 600 HP shield for 10s on Transference</x:v>
      </x:c>
      <x:c r="G367" s="62" t="str">
        <x:v>On Void Mode:\nGenerate Void Particles every 1s up to 6 particles, each granting 12.5% Damage Reduction for 60s. Taking damage consumes a particle.</x:v>
      </x:c>
      <x:c r="H367" s="62" t="str">
        <x:v>comparison=HEURISTIC_TEXT_ONLY</x:v>
      </x:c>
      <x:c r="I367" s="62" t="str">
        <x:v>NOT_REVIEWED</x:v>
      </x:c>
      <x:c r="J367" s="62" t="str"/>
    </x:row>
    <x:row r="368">
      <x:c r="A368" s="31" t="str">
        <x:v>ARC-0105</x:v>
      </x:c>
      <x:c r="B368" s="31" t="str">
        <x:v>P2</x:v>
      </x:c>
      <x:c r="C368" s="31" t="str">
        <x:v>Magus Glitch</x:v>
      </x:c>
      <x:c r="D368" s="31" t="str">
        <x:v>Magus Glitch</x:v>
      </x:c>
      <x:c r="E368" s="31" t="str">
        <x:v>unique_name</x:v>
      </x:c>
      <x:c r="F368" s="62" t="str"/>
      <x:c r="G368" s="62" t="str">
        <x:v>/Lotus/Upgrades/CosmeticEnhancers/OperatorArmour/NoPenaltyOnDeath</x:v>
      </x:c>
      <x:c r="H368" s="62" t="str">
        <x:v>reason=MISSING_OR_DIFFERENT_STABLE_ID</x:v>
      </x:c>
      <x:c r="I368" s="62" t="str">
        <x:v>NOT_REVIEWED</x:v>
      </x:c>
      <x:c r="J368" s="62" t="str"/>
    </x:row>
    <x:row r="369">
      <x:c r="A369" s="31" t="str">
        <x:v>ARC-0105</x:v>
      </x:c>
      <x:c r="B369" s="31" t="str">
        <x:v>P2</x:v>
      </x:c>
      <x:c r="C369" s="31" t="str">
        <x:v>Magus Glitch</x:v>
      </x:c>
      <x:c r="D369" s="31" t="str">
        <x:v>Magus Glitch</x:v>
      </x:c>
      <x:c r="E369" s="31" t="str">
        <x:v>equipment_type</x:v>
      </x:c>
      <x:c r="F369" s="62" t="str"/>
      <x:c r="G369" s="62" t="str">
        <x:v>Operator Arcane</x:v>
      </x:c>
      <x:c r="H369" s="62" t="str">
        <x:v>legacy_subcategory=; reason=EQUIPMENT_COMPATIBILITY_IS_SEPARATE_FROM_LEGACY_SUBCATEGORY</x:v>
      </x:c>
      <x:c r="I369" s="62" t="str">
        <x:v>NOT_REVIEWED</x:v>
      </x:c>
      <x:c r="J369" s="62" t="str"/>
    </x:row>
    <x:row r="370">
      <x:c r="A370" s="31" t="str">
        <x:v>ARC-0105</x:v>
      </x:c>
      <x:c r="B370" s="31" t="str">
        <x:v>P2</x:v>
      </x:c>
      <x:c r="C370" s="31" t="str">
        <x:v>Magus Glitch</x:v>
      </x:c>
      <x:c r="D370" s="31" t="str">
        <x:v>Magus Glitch</x:v>
      </x:c>
      <x:c r="E370" s="31" t="str">
        <x:v>introduced_update</x:v>
      </x:c>
      <x:c r="F370" s="62" t="str"/>
      <x:c r="G370" s="62" t="str">
        <x:v>Update 24.2</x:v>
      </x:c>
      <x:c r="H370" s="62" t="str"/>
      <x:c r="I370" s="62" t="str">
        <x:v>NOT_REVIEWED</x:v>
      </x:c>
      <x:c r="J370" s="62" t="str"/>
    </x:row>
    <x:row r="371">
      <x:c r="A371" s="31" t="str">
        <x:v>ARC-0105</x:v>
      </x:c>
      <x:c r="B371" s="31" t="str">
        <x:v>P2</x:v>
      </x:c>
      <x:c r="C371" s="31" t="str">
        <x:v>Magus Glitch</x:v>
      </x:c>
      <x:c r="D371" s="31" t="str">
        <x:v>Magus Glitch</x:v>
      </x:c>
      <x:c r="E371" s="31" t="str">
        <x:v>effect_text</x:v>
      </x:c>
      <x:c r="F371" s="62" t="str"/>
      <x:c r="G371" s="62" t="str">
        <x:v>On Transference Static:\n102% chance to negate Transference Static.</x:v>
      </x:c>
      <x:c r="H371" s="62" t="str">
        <x:v>comparison=HEURISTIC_TEXT_ONLY</x:v>
      </x:c>
      <x:c r="I371" s="62" t="str">
        <x:v>NOT_REVIEWED</x:v>
      </x:c>
      <x:c r="J371" s="62" t="str"/>
    </x:row>
    <x:row r="372">
      <x:c r="A372" s="31" t="str">
        <x:v>ARC-0106</x:v>
      </x:c>
      <x:c r="B372" s="31" t="str">
        <x:v>P2</x:v>
      </x:c>
      <x:c r="C372" s="31" t="str">
        <x:v>Magus Husk</x:v>
      </x:c>
      <x:c r="D372" s="31" t="str">
        <x:v>Magus Husk</x:v>
      </x:c>
      <x:c r="E372" s="31" t="str">
        <x:v>unique_name</x:v>
      </x:c>
      <x:c r="F372" s="62" t="str"/>
      <x:c r="G372" s="62" t="str">
        <x:v>/Lotus/Upgrades/CosmeticEnhancers/OperatorArmour/ArmourOnOperatorMode</x:v>
      </x:c>
      <x:c r="H372" s="62" t="str">
        <x:v>reason=MISSING_OR_DIFFERENT_STABLE_ID</x:v>
      </x:c>
      <x:c r="I372" s="62" t="str">
        <x:v>NOT_REVIEWED</x:v>
      </x:c>
      <x:c r="J372" s="62" t="str"/>
    </x:row>
    <x:row r="373">
      <x:c r="A373" s="31" t="str">
        <x:v>ARC-0106</x:v>
      </x:c>
      <x:c r="B373" s="31" t="str">
        <x:v>P2</x:v>
      </x:c>
      <x:c r="C373" s="31" t="str">
        <x:v>Magus Husk</x:v>
      </x:c>
      <x:c r="D373" s="31" t="str">
        <x:v>Magus Husk</x:v>
      </x:c>
      <x:c r="E373" s="31" t="str">
        <x:v>equipment_type</x:v>
      </x:c>
      <x:c r="F373" s="62" t="str"/>
      <x:c r="G373" s="62" t="str">
        <x:v>Operator Arcane</x:v>
      </x:c>
      <x:c r="H373" s="62" t="str">
        <x:v>legacy_subcategory=Magus; reason=EQUIPMENT_COMPATIBILITY_IS_SEPARATE_FROM_LEGACY_SUBCATEGORY</x:v>
      </x:c>
      <x:c r="I373" s="62" t="str">
        <x:v>NOT_REVIEWED</x:v>
      </x:c>
      <x:c r="J373" s="62" t="str"/>
    </x:row>
    <x:row r="374">
      <x:c r="A374" s="31" t="str">
        <x:v>ARC-0106</x:v>
      </x:c>
      <x:c r="B374" s="31" t="str">
        <x:v>P2</x:v>
      </x:c>
      <x:c r="C374" s="31" t="str">
        <x:v>Magus Husk</x:v>
      </x:c>
      <x:c r="D374" s="31" t="str">
        <x:v>Magus Husk</x:v>
      </x:c>
      <x:c r="E374" s="31" t="str">
        <x:v>introduced_update</x:v>
      </x:c>
      <x:c r="F374" s="62" t="str">
        <x:v>22.0</x:v>
      </x:c>
      <x:c r="G374" s="62" t="str">
        <x:v>Update 22.0</x:v>
      </x:c>
      <x:c r="H374" s="62" t="str"/>
      <x:c r="I374" s="62" t="str">
        <x:v>NOT_REVIEWED</x:v>
      </x:c>
      <x:c r="J374" s="62" t="str"/>
    </x:row>
    <x:row r="375">
      <x:c r="A375" s="31" t="str">
        <x:v>ARC-0106</x:v>
      </x:c>
      <x:c r="B375" s="31" t="str">
        <x:v>P2</x:v>
      </x:c>
      <x:c r="C375" s="31" t="str">
        <x:v>Magus Husk</x:v>
      </x:c>
      <x:c r="D375" s="31" t="str">
        <x:v>Magus Husk</x:v>
      </x:c>
      <x:c r="E375" s="31" t="str">
        <x:v>effect_text</x:v>
      </x:c>
      <x:c r="F375" s="62" t="str">
        <x:v>+300 Armor to Warframe while in Void Mode</x:v>
      </x:c>
      <x:c r="G375" s="62" t="str">
        <x:v>On Transference Out:\n+300 Armor</x:v>
      </x:c>
      <x:c r="H375" s="62" t="str">
        <x:v>comparison=HEURISTIC_TEXT_ONLY</x:v>
      </x:c>
      <x:c r="I375" s="62" t="str">
        <x:v>NOT_REVIEWED</x:v>
      </x:c>
      <x:c r="J375" s="62" t="str"/>
    </x:row>
    <x:row r="376">
      <x:c r="A376" s="31" t="str">
        <x:v>ARC-0107</x:v>
      </x:c>
      <x:c r="B376" s="31" t="str">
        <x:v>P2</x:v>
      </x:c>
      <x:c r="C376" s="31" t="str">
        <x:v>Magus Lockdown</x:v>
      </x:c>
      <x:c r="D376" s="31" t="str">
        <x:v>Magus Lockdown</x:v>
      </x:c>
      <x:c r="E376" s="31" t="str">
        <x:v>unique_name</x:v>
      </x:c>
      <x:c r="F376" s="62" t="str"/>
      <x:c r="G376" s="62" t="str">
        <x:v>/Lotus/Upgrades/CosmeticEnhancers/OperatorArmour/TetherMineOnDash</x:v>
      </x:c>
      <x:c r="H376" s="62" t="str">
        <x:v>reason=MISSING_OR_DIFFERENT_STABLE_ID</x:v>
      </x:c>
      <x:c r="I376" s="62" t="str">
        <x:v>NOT_REVIEWED</x:v>
      </x:c>
      <x:c r="J376" s="62" t="str"/>
    </x:row>
    <x:row r="377">
      <x:c r="A377" s="31" t="str">
        <x:v>ARC-0107</x:v>
      </x:c>
      <x:c r="B377" s="31" t="str">
        <x:v>P2</x:v>
      </x:c>
      <x:c r="C377" s="31" t="str">
        <x:v>Magus Lockdown</x:v>
      </x:c>
      <x:c r="D377" s="31" t="str">
        <x:v>Magus Lockdown</x:v>
      </x:c>
      <x:c r="E377" s="31" t="str">
        <x:v>equipment_type</x:v>
      </x:c>
      <x:c r="F377" s="62" t="str"/>
      <x:c r="G377" s="62" t="str">
        <x:v>Operator Arcane</x:v>
      </x:c>
      <x:c r="H377" s="62" t="str">
        <x:v>legacy_subcategory=Magus; reason=EQUIPMENT_COMPATIBILITY_IS_SEPARATE_FROM_LEGACY_SUBCATEGORY</x:v>
      </x:c>
      <x:c r="I377" s="62" t="str">
        <x:v>NOT_REVIEWED</x:v>
      </x:c>
      <x:c r="J377" s="62" t="str"/>
    </x:row>
    <x:row r="378">
      <x:c r="A378" s="31" t="str">
        <x:v>ARC-0107</x:v>
      </x:c>
      <x:c r="B378" s="31" t="str">
        <x:v>P2</x:v>
      </x:c>
      <x:c r="C378" s="31" t="str">
        <x:v>Magus Lockdown</x:v>
      </x:c>
      <x:c r="D378" s="31" t="str">
        <x:v>Magus Lockdown</x:v>
      </x:c>
      <x:c r="E378" s="31" t="str">
        <x:v>introduced_update</x:v>
      </x:c>
      <x:c r="F378" s="62" t="str">
        <x:v>22.0</x:v>
      </x:c>
      <x:c r="G378" s="62" t="str">
        <x:v>Update 24.2</x:v>
      </x:c>
      <x:c r="H378" s="62" t="str"/>
      <x:c r="I378" s="62" t="str">
        <x:v>NOT_REVIEWED</x:v>
      </x:c>
      <x:c r="J378" s="62" t="str"/>
    </x:row>
    <x:row r="379">
      <x:c r="A379" s="31" t="str">
        <x:v>ARC-0107</x:v>
      </x:c>
      <x:c r="B379" s="31" t="str">
        <x:v>P2</x:v>
      </x:c>
      <x:c r="C379" s="31" t="str">
        <x:v>Magus Lockdown</x:v>
      </x:c>
      <x:c r="D379" s="31" t="str">
        <x:v>Magus Lockdown</x:v>
      </x:c>
      <x:c r="E379" s="31" t="str">
        <x:v>effect_text</x:v>
      </x:c>
      <x:c r="F379" s="62" t="str">
        <x:v>Spawn Void Chains that immobilize nearby enemies for 15s</x:v>
      </x:c>
      <x:c r="G379" s="62" t="str">
        <x:v>On Void Sling:\nDrop a mine that tethers up to 10 enemies in 15m for 4s.</x:v>
      </x:c>
      <x:c r="H379" s="62" t="str">
        <x:v>comparison=HEURISTIC_TEXT_ONLY</x:v>
      </x:c>
      <x:c r="I379" s="62" t="str">
        <x:v>NOT_REVIEWED</x:v>
      </x:c>
      <x:c r="J379" s="62" t="str"/>
    </x:row>
    <x:row r="380">
      <x:c r="A380" s="31" t="str">
        <x:v>ARC-0108</x:v>
      </x:c>
      <x:c r="B380" s="31" t="str">
        <x:v>P2</x:v>
      </x:c>
      <x:c r="C380" s="31" t="str">
        <x:v>Magus Melt</x:v>
      </x:c>
      <x:c r="D380" s="31" t="str">
        <x:v>Magus Melt</x:v>
      </x:c>
      <x:c r="E380" s="31" t="str">
        <x:v>unique_name</x:v>
      </x:c>
      <x:c r="F380" s="62" t="str"/>
      <x:c r="G380" s="62" t="str">
        <x:v>/Lotus/Upgrades/CosmeticEnhancers/OperatorArmour/HeatDamageOnDash</x:v>
      </x:c>
      <x:c r="H380" s="62" t="str">
        <x:v>reason=MISSING_OR_DIFFERENT_STABLE_ID</x:v>
      </x:c>
      <x:c r="I380" s="62" t="str">
        <x:v>NOT_REVIEWED</x:v>
      </x:c>
      <x:c r="J380" s="62" t="str"/>
    </x:row>
    <x:row r="381">
      <x:c r="A381" s="31" t="str">
        <x:v>ARC-0108</x:v>
      </x:c>
      <x:c r="B381" s="31" t="str">
        <x:v>P2</x:v>
      </x:c>
      <x:c r="C381" s="31" t="str">
        <x:v>Magus Melt</x:v>
      </x:c>
      <x:c r="D381" s="31" t="str">
        <x:v>Magus Melt</x:v>
      </x:c>
      <x:c r="E381" s="31" t="str">
        <x:v>equipment_type</x:v>
      </x:c>
      <x:c r="F381" s="62" t="str"/>
      <x:c r="G381" s="62" t="str">
        <x:v>Operator Arcane</x:v>
      </x:c>
      <x:c r="H381" s="62" t="str">
        <x:v>legacy_subcategory=Magus; reason=EQUIPMENT_COMPATIBILITY_IS_SEPARATE_FROM_LEGACY_SUBCATEGORY</x:v>
      </x:c>
      <x:c r="I381" s="62" t="str">
        <x:v>NOT_REVIEWED</x:v>
      </x:c>
      <x:c r="J381" s="62" t="str"/>
    </x:row>
    <x:row r="382">
      <x:c r="A382" s="31" t="str">
        <x:v>ARC-0108</x:v>
      </x:c>
      <x:c r="B382" s="31" t="str">
        <x:v>P2</x:v>
      </x:c>
      <x:c r="C382" s="31" t="str">
        <x:v>Magus Melt</x:v>
      </x:c>
      <x:c r="D382" s="31" t="str">
        <x:v>Magus Melt</x:v>
      </x:c>
      <x:c r="E382" s="31" t="str">
        <x:v>introduced_update</x:v>
      </x:c>
      <x:c r="F382" s="62" t="str">
        <x:v>22.0</x:v>
      </x:c>
      <x:c r="G382" s="62" t="str">
        <x:v>Update 24.2</x:v>
      </x:c>
      <x:c r="H382" s="62" t="str"/>
      <x:c r="I382" s="62" t="str">
        <x:v>NOT_REVIEWED</x:v>
      </x:c>
      <x:c r="J382" s="62" t="str"/>
    </x:row>
    <x:row r="383">
      <x:c r="A383" s="31" t="str">
        <x:v>ARC-0108</x:v>
      </x:c>
      <x:c r="B383" s="31" t="str">
        <x:v>P2</x:v>
      </x:c>
      <x:c r="C383" s="31" t="str">
        <x:v>Magus Melt</x:v>
      </x:c>
      <x:c r="D383" s="31" t="str">
        <x:v>Magus Melt</x:v>
      </x:c>
      <x:c r="E383" s="31" t="str">
        <x:v>effect_text</x:v>
      </x:c>
      <x:c r="F383" s="62" t="str">
        <x:v>Chance to proc Heat on affected enemies</x:v>
      </x:c>
      <x:c r="G383" s="62" t="str">
        <x:v>On Void Sling:\nIncrease &lt;DT_FIRE_COLOR&gt;Heat Damage in Operator Mode by 30% for 15s, stacking up to 7x.</x:v>
      </x:c>
      <x:c r="H383" s="62" t="str">
        <x:v>comparison=HEURISTIC_TEXT_ONLY</x:v>
      </x:c>
      <x:c r="I383" s="62" t="str">
        <x:v>NOT_REVIEWED</x:v>
      </x:c>
      <x:c r="J383" s="62" t="str"/>
    </x:row>
    <x:row r="384">
      <x:c r="A384" s="31" t="str">
        <x:v>ARC-0109</x:v>
      </x:c>
      <x:c r="B384" s="31" t="str">
        <x:v>P2</x:v>
      </x:c>
      <x:c r="C384" s="31" t="str">
        <x:v>Magus Nourish</x:v>
      </x:c>
      <x:c r="D384" s="31" t="str">
        <x:v>Magus Nourish</x:v>
      </x:c>
      <x:c r="E384" s="31" t="str">
        <x:v>unique_name</x:v>
      </x:c>
      <x:c r="F384" s="62" t="str"/>
      <x:c r="G384" s="62" t="str">
        <x:v>/Lotus/Upgrades/CosmeticEnhancers/OperatorArmour/HealOnTransferenceOut</x:v>
      </x:c>
      <x:c r="H384" s="62" t="str">
        <x:v>reason=MISSING_OR_DIFFERENT_STABLE_ID</x:v>
      </x:c>
      <x:c r="I384" s="62" t="str">
        <x:v>NOT_REVIEWED</x:v>
      </x:c>
      <x:c r="J384" s="62" t="str"/>
    </x:row>
    <x:row r="385">
      <x:c r="A385" s="31" t="str">
        <x:v>ARC-0109</x:v>
      </x:c>
      <x:c r="B385" s="31" t="str">
        <x:v>P2</x:v>
      </x:c>
      <x:c r="C385" s="31" t="str">
        <x:v>Magus Nourish</x:v>
      </x:c>
      <x:c r="D385" s="31" t="str">
        <x:v>Magus Nourish</x:v>
      </x:c>
      <x:c r="E385" s="31" t="str">
        <x:v>equipment_type</x:v>
      </x:c>
      <x:c r="F385" s="62" t="str"/>
      <x:c r="G385" s="62" t="str">
        <x:v>Operator Arcane</x:v>
      </x:c>
      <x:c r="H385" s="62" t="str">
        <x:v>legacy_subcategory=Magus; reason=EQUIPMENT_COMPATIBILITY_IS_SEPARATE_FROM_LEGACY_SUBCATEGORY</x:v>
      </x:c>
      <x:c r="I385" s="62" t="str">
        <x:v>NOT_REVIEWED</x:v>
      </x:c>
      <x:c r="J385" s="62" t="str"/>
    </x:row>
    <x:row r="386">
      <x:c r="A386" s="31" t="str">
        <x:v>ARC-0109</x:v>
      </x:c>
      <x:c r="B386" s="31" t="str">
        <x:v>P2</x:v>
      </x:c>
      <x:c r="C386" s="31" t="str">
        <x:v>Magus Nourish</x:v>
      </x:c>
      <x:c r="D386" s="31" t="str">
        <x:v>Magus Nourish</x:v>
      </x:c>
      <x:c r="E386" s="31" t="str">
        <x:v>introduced_update</x:v>
      </x:c>
      <x:c r="F386" s="62" t="str">
        <x:v>22.0</x:v>
      </x:c>
      <x:c r="G386" s="62" t="str">
        <x:v>Update 22.0</x:v>
      </x:c>
      <x:c r="H386" s="62" t="str"/>
      <x:c r="I386" s="62" t="str">
        <x:v>NOT_REVIEWED</x:v>
      </x:c>
      <x:c r="J386" s="62" t="str"/>
    </x:row>
    <x:row r="387">
      <x:c r="A387" s="31" t="str">
        <x:v>ARC-0109</x:v>
      </x:c>
      <x:c r="B387" s="31" t="str">
        <x:v>P2</x:v>
      </x:c>
      <x:c r="C387" s="31" t="str">
        <x:v>Magus Nourish</x:v>
      </x:c>
      <x:c r="D387" s="31" t="str">
        <x:v>Magus Nourish</x:v>
      </x:c>
      <x:c r="E387" s="31" t="str">
        <x:v>effect_text</x:v>
      </x:c>
      <x:c r="F387" s="62" t="str">
        <x:v>Restore 150 Energy to Warframe on Transference-in</x:v>
      </x:c>
      <x:c r="G387" s="62" t="str">
        <x:v>While An Operator:\nRestores 35 Health/s to Warframe.</x:v>
      </x:c>
      <x:c r="H387" s="62" t="str">
        <x:v>comparison=HEURISTIC_TEXT_ONLY</x:v>
      </x:c>
      <x:c r="I387" s="62" t="str">
        <x:v>NOT_REVIEWED</x:v>
      </x:c>
      <x:c r="J387" s="62" t="str"/>
    </x:row>
    <x:row r="388">
      <x:c r="A388" s="31" t="str">
        <x:v>ARC-0110</x:v>
      </x:c>
      <x:c r="B388" s="31" t="str">
        <x:v>P2</x:v>
      </x:c>
      <x:c r="C388" s="31" t="str">
        <x:v>Magus Overload</x:v>
      </x:c>
      <x:c r="D388" s="31" t="str">
        <x:v>Magus Overload</x:v>
      </x:c>
      <x:c r="E388" s="31" t="str">
        <x:v>unique_name</x:v>
      </x:c>
      <x:c r="F388" s="62" t="str"/>
      <x:c r="G388" s="62" t="str">
        <x:v>/Lotus/Upgrades/CosmeticEnhancers/OperatorArmour/RobotStunOnBlast</x:v>
      </x:c>
      <x:c r="H388" s="62" t="str">
        <x:v>reason=MISSING_OR_DIFFERENT_STABLE_ID</x:v>
      </x:c>
      <x:c r="I388" s="62" t="str">
        <x:v>NOT_REVIEWED</x:v>
      </x:c>
      <x:c r="J388" s="62" t="str"/>
    </x:row>
    <x:row r="389">
      <x:c r="A389" s="31" t="str">
        <x:v>ARC-0110</x:v>
      </x:c>
      <x:c r="B389" s="31" t="str">
        <x:v>P2</x:v>
      </x:c>
      <x:c r="C389" s="31" t="str">
        <x:v>Magus Overload</x:v>
      </x:c>
      <x:c r="D389" s="31" t="str">
        <x:v>Magus Overload</x:v>
      </x:c>
      <x:c r="E389" s="31" t="str">
        <x:v>equipment_type</x:v>
      </x:c>
      <x:c r="F389" s="62" t="str"/>
      <x:c r="G389" s="62" t="str">
        <x:v>Operator Arcane</x:v>
      </x:c>
      <x:c r="H389" s="62" t="str">
        <x:v>legacy_subcategory=Magus; reason=EQUIPMENT_COMPATIBILITY_IS_SEPARATE_FROM_LEGACY_SUBCATEGORY</x:v>
      </x:c>
      <x:c r="I389" s="62" t="str">
        <x:v>NOT_REVIEWED</x:v>
      </x:c>
      <x:c r="J389" s="62" t="str"/>
    </x:row>
    <x:row r="390">
      <x:c r="A390" s="31" t="str">
        <x:v>ARC-0110</x:v>
      </x:c>
      <x:c r="B390" s="31" t="str">
        <x:v>P2</x:v>
      </x:c>
      <x:c r="C390" s="31" t="str">
        <x:v>Magus Overload</x:v>
      </x:c>
      <x:c r="D390" s="31" t="str">
        <x:v>Magus Overload</x:v>
      </x:c>
      <x:c r="E390" s="31" t="str">
        <x:v>introduced_update</x:v>
      </x:c>
      <x:c r="F390" s="62" t="str">
        <x:v>22.0</x:v>
      </x:c>
      <x:c r="G390" s="62" t="str">
        <x:v>Update 24.2</x:v>
      </x:c>
      <x:c r="H390" s="62" t="str"/>
      <x:c r="I390" s="62" t="str">
        <x:v>NOT_REVIEWED</x:v>
      </x:c>
      <x:c r="J390" s="62" t="str"/>
    </x:row>
    <x:row r="391">
      <x:c r="A391" s="31" t="str">
        <x:v>ARC-0110</x:v>
      </x:c>
      <x:c r="B391" s="31" t="str">
        <x:v>P2</x:v>
      </x:c>
      <x:c r="C391" s="31" t="str">
        <x:v>Magus Overload</x:v>
      </x:c>
      <x:c r="D391" s="31" t="str">
        <x:v>Magus Overload</x:v>
      </x:c>
      <x:c r="E391" s="31" t="str">
        <x:v>effect_text</x:v>
      </x:c>
      <x:c r="F391" s="62" t="str">
        <x:v>Proc Electricity burst from hacked consoles</x:v>
      </x:c>
      <x:c r="G391" s="62" t="str">
        <x:v>On Void Sling:\nStun robotic enemies for 3s, which then discharge &lt;DT_ELECTRICITY_COLOR&gt;Electricity Damage dealing 80% of their Max Health to anyone within 25m.</x:v>
      </x:c>
      <x:c r="H391" s="62" t="str">
        <x:v>comparison=HEURISTIC_TEXT_ONLY</x:v>
      </x:c>
      <x:c r="I391" s="62" t="str">
        <x:v>NOT_REVIEWED</x:v>
      </x:c>
      <x:c r="J391" s="62" t="str"/>
    </x:row>
    <x:row r="392">
      <x:c r="A392" s="31" t="str">
        <x:v>ARC-0111</x:v>
      </x:c>
      <x:c r="B392" s="31" t="str">
        <x:v>P2</x:v>
      </x:c>
      <x:c r="C392" s="31" t="str">
        <x:v>Magus Repair</x:v>
      </x:c>
      <x:c r="D392" s="31" t="str">
        <x:v>Magus Repair</x:v>
      </x:c>
      <x:c r="E392" s="31" t="str">
        <x:v>unique_name</x:v>
      </x:c>
      <x:c r="F392" s="62" t="str"/>
      <x:c r="G392" s="62" t="str">
        <x:v>/Lotus/Upgrades/CosmeticEnhancers/OperatorArmour/HealOnVoidMode</x:v>
      </x:c>
      <x:c r="H392" s="62" t="str">
        <x:v>reason=MISSING_OR_DIFFERENT_STABLE_ID</x:v>
      </x:c>
      <x:c r="I392" s="62" t="str">
        <x:v>NOT_REVIEWED</x:v>
      </x:c>
      <x:c r="J392" s="62" t="str"/>
    </x:row>
    <x:row r="393">
      <x:c r="A393" s="31" t="str">
        <x:v>ARC-0111</x:v>
      </x:c>
      <x:c r="B393" s="31" t="str">
        <x:v>P2</x:v>
      </x:c>
      <x:c r="C393" s="31" t="str">
        <x:v>Magus Repair</x:v>
      </x:c>
      <x:c r="D393" s="31" t="str">
        <x:v>Magus Repair</x:v>
      </x:c>
      <x:c r="E393" s="31" t="str">
        <x:v>equipment_type</x:v>
      </x:c>
      <x:c r="F393" s="62" t="str"/>
      <x:c r="G393" s="62" t="str">
        <x:v>Operator Arcane</x:v>
      </x:c>
      <x:c r="H393" s="62" t="str">
        <x:v>legacy_subcategory=; reason=EQUIPMENT_COMPATIBILITY_IS_SEPARATE_FROM_LEGACY_SUBCATEGORY</x:v>
      </x:c>
      <x:c r="I393" s="62" t="str">
        <x:v>NOT_REVIEWED</x:v>
      </x:c>
      <x:c r="J393" s="62" t="str"/>
    </x:row>
    <x:row r="394">
      <x:c r="A394" s="31" t="str">
        <x:v>ARC-0111</x:v>
      </x:c>
      <x:c r="B394" s="31" t="str">
        <x:v>P2</x:v>
      </x:c>
      <x:c r="C394" s="31" t="str">
        <x:v>Magus Repair</x:v>
      </x:c>
      <x:c r="D394" s="31" t="str">
        <x:v>Magus Repair</x:v>
      </x:c>
      <x:c r="E394" s="31" t="str">
        <x:v>introduced_update</x:v>
      </x:c>
      <x:c r="F394" s="62" t="str"/>
      <x:c r="G394" s="62" t="str">
        <x:v>Update 24.2</x:v>
      </x:c>
      <x:c r="H394" s="62" t="str"/>
      <x:c r="I394" s="62" t="str">
        <x:v>NOT_REVIEWED</x:v>
      </x:c>
      <x:c r="J394" s="62" t="str"/>
    </x:row>
    <x:row r="395">
      <x:c r="A395" s="31" t="str">
        <x:v>ARC-0111</x:v>
      </x:c>
      <x:c r="B395" s="31" t="str">
        <x:v>P2</x:v>
      </x:c>
      <x:c r="C395" s="31" t="str">
        <x:v>Magus Repair</x:v>
      </x:c>
      <x:c r="D395" s="31" t="str">
        <x:v>Magus Repair</x:v>
      </x:c>
      <x:c r="E395" s="31" t="str">
        <x:v>effect_text</x:v>
      </x:c>
      <x:c r="F395" s="62" t="str"/>
      <x:c r="G395" s="62" t="str">
        <x:v>On Void Mode:\nHeal Warframes within 30m by 25% Health/s.</x:v>
      </x:c>
      <x:c r="H395" s="62" t="str">
        <x:v>comparison=HEURISTIC_TEXT_ONLY</x:v>
      </x:c>
      <x:c r="I395" s="62" t="str">
        <x:v>NOT_REVIEWED</x:v>
      </x:c>
      <x:c r="J395" s="62" t="str"/>
    </x:row>
    <x:row r="396">
      <x:c r="A396" s="31" t="str">
        <x:v>ARC-0112</x:v>
      </x:c>
      <x:c r="B396" s="31" t="str">
        <x:v>P2</x:v>
      </x:c>
      <x:c r="C396" s="31" t="str">
        <x:v>Magus Replenish</x:v>
      </x:c>
      <x:c r="D396" s="31" t="str">
        <x:v>Magus Replenish</x:v>
      </x:c>
      <x:c r="E396" s="31" t="str">
        <x:v>unique_name</x:v>
      </x:c>
      <x:c r="F396" s="62" t="str"/>
      <x:c r="G396" s="62" t="str">
        <x:v>/Lotus/Upgrades/CosmeticEnhancers/OperatorArmour/HealOnVoidDash</x:v>
      </x:c>
      <x:c r="H396" s="62" t="str">
        <x:v>reason=MISSING_OR_DIFFERENT_STABLE_ID</x:v>
      </x:c>
      <x:c r="I396" s="62" t="str">
        <x:v>NOT_REVIEWED</x:v>
      </x:c>
      <x:c r="J396" s="62" t="str"/>
    </x:row>
    <x:row r="397">
      <x:c r="A397" s="31" t="str">
        <x:v>ARC-0112</x:v>
      </x:c>
      <x:c r="B397" s="31" t="str">
        <x:v>P2</x:v>
      </x:c>
      <x:c r="C397" s="31" t="str">
        <x:v>Magus Replenish</x:v>
      </x:c>
      <x:c r="D397" s="31" t="str">
        <x:v>Magus Replenish</x:v>
      </x:c>
      <x:c r="E397" s="31" t="str">
        <x:v>equipment_type</x:v>
      </x:c>
      <x:c r="F397" s="62" t="str"/>
      <x:c r="G397" s="62" t="str">
        <x:v>Operator Arcane</x:v>
      </x:c>
      <x:c r="H397" s="62" t="str">
        <x:v>legacy_subcategory=Magus; reason=EQUIPMENT_COMPATIBILITY_IS_SEPARATE_FROM_LEGACY_SUBCATEGORY</x:v>
      </x:c>
      <x:c r="I397" s="62" t="str">
        <x:v>NOT_REVIEWED</x:v>
      </x:c>
      <x:c r="J397" s="62" t="str"/>
    </x:row>
    <x:row r="398">
      <x:c r="A398" s="31" t="str">
        <x:v>ARC-0112</x:v>
      </x:c>
      <x:c r="B398" s="31" t="str">
        <x:v>P2</x:v>
      </x:c>
      <x:c r="C398" s="31" t="str">
        <x:v>Magus Replenish</x:v>
      </x:c>
      <x:c r="D398" s="31" t="str">
        <x:v>Magus Replenish</x:v>
      </x:c>
      <x:c r="E398" s="31" t="str">
        <x:v>introduced_update</x:v>
      </x:c>
      <x:c r="F398" s="62" t="str">
        <x:v>22.0</x:v>
      </x:c>
      <x:c r="G398" s="62" t="str">
        <x:v>Update 22.0</x:v>
      </x:c>
      <x:c r="H398" s="62" t="str"/>
      <x:c r="I398" s="62" t="str">
        <x:v>NOT_REVIEWED</x:v>
      </x:c>
      <x:c r="J398" s="62" t="str"/>
    </x:row>
    <x:row r="399">
      <x:c r="A399" s="31" t="str">
        <x:v>ARC-0112</x:v>
      </x:c>
      <x:c r="B399" s="31" t="str">
        <x:v>P2</x:v>
      </x:c>
      <x:c r="C399" s="31" t="str">
        <x:v>Magus Replenish</x:v>
      </x:c>
      <x:c r="D399" s="31" t="str">
        <x:v>Magus Replenish</x:v>
      </x:c>
      <x:c r="E399" s="31" t="str">
        <x:v>effect_text</x:v>
      </x:c>
      <x:c r="F399" s="62" t="str">
        <x:v>Restore 150 Shields to Warframe on Void Mode exit</x:v>
      </x:c>
      <x:c r="G399" s="62" t="str">
        <x:v>On Void Sling:\nHeal 30% Health</x:v>
      </x:c>
      <x:c r="H399" s="62" t="str">
        <x:v>comparison=HEURISTIC_TEXT_ONLY</x:v>
      </x:c>
      <x:c r="I399" s="62" t="str">
        <x:v>NOT_REVIEWED</x:v>
      </x:c>
      <x:c r="J399" s="62" t="str"/>
    </x:row>
    <x:row r="400">
      <x:c r="A400" s="31" t="str">
        <x:v>ARC-0113</x:v>
      </x:c>
      <x:c r="B400" s="31" t="str">
        <x:v>P2</x:v>
      </x:c>
      <x:c r="C400" s="31" t="str">
        <x:v>Magus Revert</x:v>
      </x:c>
      <x:c r="D400" s="31" t="str">
        <x:v>Magus Revert</x:v>
      </x:c>
      <x:c r="E400" s="31" t="str">
        <x:v>unique_name</x:v>
      </x:c>
      <x:c r="F400" s="62" t="str"/>
      <x:c r="G400" s="62" t="str">
        <x:v>/Lotus/Upgrades/CosmeticEnhancers/OperatorArmour/ReverseOnDash</x:v>
      </x:c>
      <x:c r="H400" s="62" t="str">
        <x:v>reason=MISSING_OR_DIFFERENT_STABLE_ID</x:v>
      </x:c>
      <x:c r="I400" s="62" t="str">
        <x:v>NOT_REVIEWED</x:v>
      </x:c>
      <x:c r="J400" s="62" t="str"/>
    </x:row>
    <x:row r="401">
      <x:c r="A401" s="31" t="str">
        <x:v>ARC-0113</x:v>
      </x:c>
      <x:c r="B401" s="31" t="str">
        <x:v>P2</x:v>
      </x:c>
      <x:c r="C401" s="31" t="str">
        <x:v>Magus Revert</x:v>
      </x:c>
      <x:c r="D401" s="31" t="str">
        <x:v>Magus Revert</x:v>
      </x:c>
      <x:c r="E401" s="31" t="str">
        <x:v>equipment_type</x:v>
      </x:c>
      <x:c r="F401" s="62" t="str"/>
      <x:c r="G401" s="62" t="str">
        <x:v>Operator Arcane</x:v>
      </x:c>
      <x:c r="H401" s="62" t="str">
        <x:v>legacy_subcategory=; reason=EQUIPMENT_COMPATIBILITY_IS_SEPARATE_FROM_LEGACY_SUBCATEGORY</x:v>
      </x:c>
      <x:c r="I401" s="62" t="str">
        <x:v>NOT_REVIEWED</x:v>
      </x:c>
      <x:c r="J401" s="62" t="str"/>
    </x:row>
    <x:row r="402">
      <x:c r="A402" s="31" t="str">
        <x:v>ARC-0113</x:v>
      </x:c>
      <x:c r="B402" s="31" t="str">
        <x:v>P2</x:v>
      </x:c>
      <x:c r="C402" s="31" t="str">
        <x:v>Magus Revert</x:v>
      </x:c>
      <x:c r="D402" s="31" t="str">
        <x:v>Magus Revert</x:v>
      </x:c>
      <x:c r="E402" s="31" t="str">
        <x:v>introduced_update</x:v>
      </x:c>
      <x:c r="F402" s="62" t="str"/>
      <x:c r="G402" s="62" t="str">
        <x:v>Update 24.2</x:v>
      </x:c>
      <x:c r="H402" s="62" t="str"/>
      <x:c r="I402" s="62" t="str">
        <x:v>NOT_REVIEWED</x:v>
      </x:c>
      <x:c r="J402" s="62" t="str"/>
    </x:row>
    <x:row r="403">
      <x:c r="A403" s="31" t="str">
        <x:v>ARC-0113</x:v>
      </x:c>
      <x:c r="B403" s="31" t="str">
        <x:v>P2</x:v>
      </x:c>
      <x:c r="C403" s="31" t="str">
        <x:v>Magus Revert</x:v>
      </x:c>
      <x:c r="D403" s="31" t="str">
        <x:v>Magus Revert</x:v>
      </x:c>
      <x:c r="E403" s="31" t="str">
        <x:v>effect_text</x:v>
      </x:c>
      <x:c r="F403" s="62" t="str"/>
      <x:c r="G403" s="62" t="str">
        <x:v>On Void Sling:\nUse again within 3s, to return the Operator to their original position at no energy cost. Restores 60 Health. 3s cooldown.</x:v>
      </x:c>
      <x:c r="H403" s="62" t="str">
        <x:v>comparison=HEURISTIC_TEXT_ONLY</x:v>
      </x:c>
      <x:c r="I403" s="62" t="str">
        <x:v>NOT_REVIEWED</x:v>
      </x:c>
      <x:c r="J403" s="62" t="str"/>
    </x:row>
    <x:row r="404">
      <x:c r="A404" s="31" t="str">
        <x:v>ARC-0114</x:v>
      </x:c>
      <x:c r="B404" s="31" t="str">
        <x:v>P2</x:v>
      </x:c>
      <x:c r="C404" s="31" t="str">
        <x:v>Magus Vigor</x:v>
      </x:c>
      <x:c r="D404" s="31" t="str">
        <x:v>Magus Vigor</x:v>
      </x:c>
      <x:c r="E404" s="31" t="str">
        <x:v>unique_name</x:v>
      </x:c>
      <x:c r="F404" s="62" t="str"/>
      <x:c r="G404" s="62" t="str">
        <x:v>/Lotus/Upgrades/CosmeticEnhancers/OperatorArmour/HealthOnOperatorMode</x:v>
      </x:c>
      <x:c r="H404" s="62" t="str">
        <x:v>reason=MISSING_OR_DIFFERENT_STABLE_ID</x:v>
      </x:c>
      <x:c r="I404" s="62" t="str">
        <x:v>NOT_REVIEWED</x:v>
      </x:c>
      <x:c r="J404" s="62" t="str"/>
    </x:row>
    <x:row r="405">
      <x:c r="A405" s="31" t="str">
        <x:v>ARC-0114</x:v>
      </x:c>
      <x:c r="B405" s="31" t="str">
        <x:v>P2</x:v>
      </x:c>
      <x:c r="C405" s="31" t="str">
        <x:v>Magus Vigor</x:v>
      </x:c>
      <x:c r="D405" s="31" t="str">
        <x:v>Magus Vigor</x:v>
      </x:c>
      <x:c r="E405" s="31" t="str">
        <x:v>equipment_type</x:v>
      </x:c>
      <x:c r="F405" s="62" t="str"/>
      <x:c r="G405" s="62" t="str">
        <x:v>Operator Arcane</x:v>
      </x:c>
      <x:c r="H405" s="62" t="str">
        <x:v>legacy_subcategory=Magus; reason=EQUIPMENT_COMPATIBILITY_IS_SEPARATE_FROM_LEGACY_SUBCATEGORY</x:v>
      </x:c>
      <x:c r="I405" s="62" t="str">
        <x:v>NOT_REVIEWED</x:v>
      </x:c>
      <x:c r="J405" s="62" t="str"/>
    </x:row>
    <x:row r="406">
      <x:c r="A406" s="31" t="str">
        <x:v>ARC-0114</x:v>
      </x:c>
      <x:c r="B406" s="31" t="str">
        <x:v>P2</x:v>
      </x:c>
      <x:c r="C406" s="31" t="str">
        <x:v>Magus Vigor</x:v>
      </x:c>
      <x:c r="D406" s="31" t="str">
        <x:v>Magus Vigor</x:v>
      </x:c>
      <x:c r="E406" s="31" t="str">
        <x:v>introduced_update</x:v>
      </x:c>
      <x:c r="F406" s="62" t="str">
        <x:v>22.0</x:v>
      </x:c>
      <x:c r="G406" s="62" t="str">
        <x:v>Update 22.0</x:v>
      </x:c>
      <x:c r="H406" s="62" t="str"/>
      <x:c r="I406" s="62" t="str">
        <x:v>NOT_REVIEWED</x:v>
      </x:c>
      <x:c r="J406" s="62" t="str"/>
    </x:row>
    <x:row r="407">
      <x:c r="A407" s="31" t="str">
        <x:v>ARC-0114</x:v>
      </x:c>
      <x:c r="B407" s="31" t="str">
        <x:v>P2</x:v>
      </x:c>
      <x:c r="C407" s="31" t="str">
        <x:v>Magus Vigor</x:v>
      </x:c>
      <x:c r="D407" s="31" t="str">
        <x:v>Magus Vigor</x:v>
      </x:c>
      <x:c r="E407" s="31" t="str">
        <x:v>effect_text</x:v>
      </x:c>
      <x:c r="F407" s="62" t="str">
        <x:v>+300 Max HP to Warframe while Operator is in Void Mode</x:v>
      </x:c>
      <x:c r="G407" s="62" t="str">
        <x:v>On Transference Out:\n+600 Health</x:v>
      </x:c>
      <x:c r="H407" s="62" t="str">
        <x:v>comparison=HEURISTIC_TEXT_ONLY</x:v>
      </x:c>
      <x:c r="I407" s="62" t="str">
        <x:v>NOT_REVIEWED</x:v>
      </x:c>
      <x:c r="J407" s="62" t="str"/>
    </x:row>
    <x:row r="408">
      <x:c r="A408" s="31" t="str">
        <x:v>ARC-0115</x:v>
      </x:c>
      <x:c r="B408" s="31" t="str">
        <x:v>P2</x:v>
      </x:c>
      <x:c r="C408" s="31" t="str">
        <x:v>Melee Afflictions</x:v>
      </x:c>
      <x:c r="D408" s="31" t="str">
        <x:v>Melee Afflictions</x:v>
      </x:c>
      <x:c r="E408" s="31" t="str">
        <x:v>unique_name</x:v>
      </x:c>
      <x:c r="F408" s="62" t="str"/>
      <x:c r="G408" s="62" t="str">
        <x:v>/Lotus/Upgrades/CosmeticEnhancers/Offensive/DuplicateStatusOnKnock</x:v>
      </x:c>
      <x:c r="H408" s="62" t="str">
        <x:v>reason=MISSING_OR_DIFFERENT_STABLE_ID</x:v>
      </x:c>
      <x:c r="I408" s="62" t="str">
        <x:v>NOT_REVIEWED</x:v>
      </x:c>
      <x:c r="J408" s="62" t="str"/>
    </x:row>
    <x:row r="409">
      <x:c r="A409" s="31" t="str">
        <x:v>ARC-0115</x:v>
      </x:c>
      <x:c r="B409" s="31" t="str">
        <x:v>P2</x:v>
      </x:c>
      <x:c r="C409" s="31" t="str">
        <x:v>Melee Afflictions</x:v>
      </x:c>
      <x:c r="D409" s="31" t="str">
        <x:v>Melee Afflictions</x:v>
      </x:c>
      <x:c r="E409" s="31" t="str">
        <x:v>equipment_type</x:v>
      </x:c>
      <x:c r="F409" s="62" t="str"/>
      <x:c r="G409" s="62" t="str">
        <x:v>Melee Arcane</x:v>
      </x:c>
      <x:c r="H409" s="62" t="str">
        <x:v>legacy_subcategory=Ascension; reason=EQUIPMENT_COMPATIBILITY_IS_SEPARATE_FROM_LEGACY_SUBCATEGORY</x:v>
      </x:c>
      <x:c r="I409" s="62" t="str">
        <x:v>NOT_REVIEWED</x:v>
      </x:c>
      <x:c r="J409" s="62" t="str"/>
    </x:row>
    <x:row r="410">
      <x:c r="A410" s="31" t="str">
        <x:v>ARC-0115</x:v>
      </x:c>
      <x:c r="B410" s="31" t="str">
        <x:v>P2</x:v>
      </x:c>
      <x:c r="C410" s="31" t="str">
        <x:v>Melee Afflictions</x:v>
      </x:c>
      <x:c r="D410" s="31" t="str">
        <x:v>Melee Afflictions</x:v>
      </x:c>
      <x:c r="E410" s="31" t="str">
        <x:v>introduced_update</x:v>
      </x:c>
      <x:c r="F410" s="62" t="str">
        <x:v>36.0</x:v>
      </x:c>
      <x:c r="G410" s="62" t="str">
        <x:v>Update 36.0</x:v>
      </x:c>
      <x:c r="H410" s="62" t="str"/>
      <x:c r="I410" s="62" t="str">
        <x:v>NOT_REVIEWED</x:v>
      </x:c>
      <x:c r="J410" s="62" t="str"/>
    </x:row>
    <x:row r="411">
      <x:c r="A411" s="31" t="str">
        <x:v>ARC-0115</x:v>
      </x:c>
      <x:c r="B411" s="31" t="str">
        <x:v>P2</x:v>
      </x:c>
      <x:c r="C411" s="31" t="str">
        <x:v>Melee Afflictions</x:v>
      </x:c>
      <x:c r="D411" s="31" t="str">
        <x:v>Melee Afflictions</x:v>
      </x:c>
      <x:c r="E411" s="31" t="str">
        <x:v>effect_text</x:v>
      </x:c>
      <x:c r="F411" s="62" t="str">
        <x:v>Melee status procs also strip Armor</x:v>
      </x:c>
      <x:c r="G411" s="62" t="str">
        <x:v>Enemies affected by Status Effects gain 6 additional stacks when they're knocked down or flung by melee attacks.</x:v>
      </x:c>
      <x:c r="H411" s="62" t="str">
        <x:v>comparison=HEURISTIC_TEXT_ONLY</x:v>
      </x:c>
      <x:c r="I411" s="62" t="str">
        <x:v>NOT_REVIEWED</x:v>
      </x:c>
      <x:c r="J411" s="62" t="str"/>
    </x:row>
    <x:row r="412">
      <x:c r="A412" s="31" t="str">
        <x:v>ARC-0116</x:v>
      </x:c>
      <x:c r="B412" s="31" t="str">
        <x:v>P2</x:v>
      </x:c>
      <x:c r="C412" s="31" t="str">
        <x:v>Melee Animosity</x:v>
      </x:c>
      <x:c r="D412" s="31" t="str">
        <x:v>Melee Animosity</x:v>
      </x:c>
      <x:c r="E412" s="31" t="str">
        <x:v>unique_name</x:v>
      </x:c>
      <x:c r="F412" s="62" t="str"/>
      <x:c r="G412" s="62" t="str">
        <x:v>/Lotus/Upgrades/CosmeticEnhancers/Offensive/HeavyCritOnRegularMelee</x:v>
      </x:c>
      <x:c r="H412" s="62" t="str">
        <x:v>reason=MISSING_OR_DIFFERENT_STABLE_ID</x:v>
      </x:c>
      <x:c r="I412" s="62" t="str">
        <x:v>NOT_REVIEWED</x:v>
      </x:c>
      <x:c r="J412" s="62" t="str"/>
    </x:row>
    <x:row r="413">
      <x:c r="A413" s="31" t="str">
        <x:v>ARC-0116</x:v>
      </x:c>
      <x:c r="B413" s="31" t="str">
        <x:v>P2</x:v>
      </x:c>
      <x:c r="C413" s="31" t="str">
        <x:v>Melee Animosity</x:v>
      </x:c>
      <x:c r="D413" s="31" t="str">
        <x:v>Melee Animosity</x:v>
      </x:c>
      <x:c r="E413" s="31" t="str">
        <x:v>equipment_type</x:v>
      </x:c>
      <x:c r="F413" s="62" t="str"/>
      <x:c r="G413" s="62" t="str">
        <x:v>Melee Arcane</x:v>
      </x:c>
      <x:c r="H413" s="62" t="str">
        <x:v>legacy_subcategory=Netracell; reason=EQUIPMENT_COMPATIBILITY_IS_SEPARATE_FROM_LEGACY_SUBCATEGORY</x:v>
      </x:c>
      <x:c r="I413" s="62" t="str">
        <x:v>NOT_REVIEWED</x:v>
      </x:c>
      <x:c r="J413" s="62" t="str"/>
    </x:row>
    <x:row r="414">
      <x:c r="A414" s="31" t="str">
        <x:v>ARC-0116</x:v>
      </x:c>
      <x:c r="B414" s="31" t="str">
        <x:v>P2</x:v>
      </x:c>
      <x:c r="C414" s="31" t="str">
        <x:v>Melee Animosity</x:v>
      </x:c>
      <x:c r="D414" s="31" t="str">
        <x:v>Melee Animosity</x:v>
      </x:c>
      <x:c r="E414" s="31" t="str">
        <x:v>introduced_update</x:v>
      </x:c>
      <x:c r="F414" s="62" t="str">
        <x:v>35.0</x:v>
      </x:c>
      <x:c r="G414" s="62" t="str">
        <x:v>Update 35.0</x:v>
      </x:c>
      <x:c r="H414" s="62" t="str"/>
      <x:c r="I414" s="62" t="str">
        <x:v>NOT_REVIEWED</x:v>
      </x:c>
      <x:c r="J414" s="62" t="str"/>
    </x:row>
    <x:row r="415">
      <x:c r="A415" s="31" t="str">
        <x:v>ARC-0116</x:v>
      </x:c>
      <x:c r="B415" s="31" t="str">
        <x:v>P2</x:v>
      </x:c>
      <x:c r="C415" s="31" t="str">
        <x:v>Melee Animosity</x:v>
      </x:c>
      <x:c r="D415" s="31" t="str">
        <x:v>Melee Animosity</x:v>
      </x:c>
      <x:c r="E415" s="31" t="str">
        <x:v>effect_text</x:v>
      </x:c>
      <x:c r="F415" s="62" t="str">
        <x:v>Stacking +10% Melee Damage; max +120%</x:v>
      </x:c>
      <x:c r="G415" s="62" t="str">
        <x:v>On Melee Hit: Gain 42% Critical Chance on your next Heavy Attack, up to 420%</x:v>
      </x:c>
      <x:c r="H415" s="62" t="str">
        <x:v>comparison=HEURISTIC_TEXT_ONLY</x:v>
      </x:c>
      <x:c r="I415" s="62" t="str">
        <x:v>NOT_REVIEWED</x:v>
      </x:c>
      <x:c r="J415" s="62" t="str"/>
    </x:row>
    <x:row r="416">
      <x:c r="A416" s="31" t="str">
        <x:v>ARC-0117</x:v>
      </x:c>
      <x:c r="B416" s="31" t="str">
        <x:v>P2</x:v>
      </x:c>
      <x:c r="C416" s="31" t="str">
        <x:v>Melee Careen</x:v>
      </x:c>
      <x:c r="D416" s="31" t="str">
        <x:v>Melee Careen</x:v>
      </x:c>
      <x:c r="E416" s="31" t="str">
        <x:v>unique_name</x:v>
      </x:c>
      <x:c r="F416" s="62" t="str"/>
      <x:c r="G416" s="62" t="str">
        <x:v>/Lotus/Upgrades/CosmeticEnhancers/Utility/FreezeEnemiesOnRoll</x:v>
      </x:c>
      <x:c r="H416" s="62" t="str">
        <x:v>reason=MISSING_OR_DIFFERENT_STABLE_ID</x:v>
      </x:c>
      <x:c r="I416" s="62" t="str">
        <x:v>NOT_REVIEWED</x:v>
      </x:c>
      <x:c r="J416" s="62" t="str"/>
    </x:row>
    <x:row r="417">
      <x:c r="A417" s="31" t="str">
        <x:v>ARC-0117</x:v>
      </x:c>
      <x:c r="B417" s="31" t="str">
        <x:v>P2</x:v>
      </x:c>
      <x:c r="C417" s="31" t="str">
        <x:v>Melee Careen</x:v>
      </x:c>
      <x:c r="D417" s="31" t="str">
        <x:v>Melee Careen</x:v>
      </x:c>
      <x:c r="E417" s="31" t="str">
        <x:v>equipment_type</x:v>
      </x:c>
      <x:c r="F417" s="62" t="str"/>
      <x:c r="G417" s="62" t="str">
        <x:v>Melee Arcane</x:v>
      </x:c>
      <x:c r="H417" s="62" t="str">
        <x:v>legacy_subcategory=; reason=EQUIPMENT_COMPATIBILITY_IS_SEPARATE_FROM_LEGACY_SUBCATEGORY</x:v>
      </x:c>
      <x:c r="I417" s="62" t="str">
        <x:v>NOT_REVIEWED</x:v>
      </x:c>
      <x:c r="J417" s="62" t="str"/>
    </x:row>
    <x:row r="418">
      <x:c r="A418" s="31" t="str">
        <x:v>ARC-0117</x:v>
      </x:c>
      <x:c r="B418" s="31" t="str">
        <x:v>P2</x:v>
      </x:c>
      <x:c r="C418" s="31" t="str">
        <x:v>Melee Careen</x:v>
      </x:c>
      <x:c r="D418" s="31" t="str">
        <x:v>Melee Careen</x:v>
      </x:c>
      <x:c r="E418" s="31" t="str">
        <x:v>introduced_update</x:v>
      </x:c>
      <x:c r="F418" s="62" t="str"/>
      <x:c r="G418" s="62" t="str">
        <x:v>Update 41.0</x:v>
      </x:c>
      <x:c r="H418" s="62" t="str"/>
      <x:c r="I418" s="62" t="str">
        <x:v>NOT_REVIEWED</x:v>
      </x:c>
      <x:c r="J418" s="62" t="str"/>
    </x:row>
    <x:row r="419">
      <x:c r="A419" s="31" t="str">
        <x:v>ARC-0117</x:v>
      </x:c>
      <x:c r="B419" s="31" t="str">
        <x:v>P2</x:v>
      </x:c>
      <x:c r="C419" s="31" t="str">
        <x:v>Melee Careen</x:v>
      </x:c>
      <x:c r="D419" s="31" t="str">
        <x:v>Melee Careen</x:v>
      </x:c>
      <x:c r="E419" s="31" t="str">
        <x:v>effect_text</x:v>
      </x:c>
      <x:c r="F419" s="62" t="str"/>
      <x:c r="G419" s="62" t="str">
        <x:v>x2.50 Melee Damage against Frozen enemies. On Roll: &lt;DT_FREEZE_COLOR&gt; Freeze enemies in a 5.5m radius with a 2s Cooldown.</x:v>
      </x:c>
      <x:c r="H419" s="62" t="str">
        <x:v>comparison=HEURISTIC_TEXT_ONLY</x:v>
      </x:c>
      <x:c r="I419" s="62" t="str">
        <x:v>NOT_REVIEWED</x:v>
      </x:c>
      <x:c r="J419" s="62" t="str"/>
    </x:row>
    <x:row r="420">
      <x:c r="A420" s="31" t="str">
        <x:v>ARC-0118</x:v>
      </x:c>
      <x:c r="B420" s="31" t="str">
        <x:v>P2</x:v>
      </x:c>
      <x:c r="C420" s="31" t="str">
        <x:v>Melee Crescendo</x:v>
      </x:c>
      <x:c r="D420" s="31" t="str">
        <x:v>Melee Crescendo</x:v>
      </x:c>
      <x:c r="E420" s="31" t="str">
        <x:v>unique_name</x:v>
      </x:c>
      <x:c r="F420" s="62" t="str"/>
      <x:c r="G420" s="62" t="str">
        <x:v>/Lotus/Upgrades/CosmeticEnhancers/Offensive/PermaComboOnFinisher</x:v>
      </x:c>
      <x:c r="H420" s="62" t="str">
        <x:v>reason=MISSING_OR_DIFFERENT_STABLE_ID</x:v>
      </x:c>
      <x:c r="I420" s="62" t="str">
        <x:v>NOT_REVIEWED</x:v>
      </x:c>
      <x:c r="J420" s="62" t="str"/>
    </x:row>
    <x:row r="421">
      <x:c r="A421" s="31" t="str">
        <x:v>ARC-0118</x:v>
      </x:c>
      <x:c r="B421" s="31" t="str">
        <x:v>P2</x:v>
      </x:c>
      <x:c r="C421" s="31" t="str">
        <x:v>Melee Crescendo</x:v>
      </x:c>
      <x:c r="D421" s="31" t="str">
        <x:v>Melee Crescendo</x:v>
      </x:c>
      <x:c r="E421" s="31" t="str">
        <x:v>equipment_type</x:v>
      </x:c>
      <x:c r="F421" s="62" t="str"/>
      <x:c r="G421" s="62" t="str">
        <x:v>Melee Arcane</x:v>
      </x:c>
      <x:c r="H421" s="62" t="str">
        <x:v>legacy_subcategory=Netracell; reason=EQUIPMENT_COMPATIBILITY_IS_SEPARATE_FROM_LEGACY_SUBCATEGORY</x:v>
      </x:c>
      <x:c r="I421" s="62" t="str">
        <x:v>NOT_REVIEWED</x:v>
      </x:c>
      <x:c r="J421" s="62" t="str"/>
    </x:row>
    <x:row r="422">
      <x:c r="A422" s="31" t="str">
        <x:v>ARC-0118</x:v>
      </x:c>
      <x:c r="B422" s="31" t="str">
        <x:v>P2</x:v>
      </x:c>
      <x:c r="C422" s="31" t="str">
        <x:v>Melee Crescendo</x:v>
      </x:c>
      <x:c r="D422" s="31" t="str">
        <x:v>Melee Crescendo</x:v>
      </x:c>
      <x:c r="E422" s="31" t="str">
        <x:v>introduced_update</x:v>
      </x:c>
      <x:c r="F422" s="62" t="str">
        <x:v>35.0</x:v>
      </x:c>
      <x:c r="G422" s="62" t="str">
        <x:v>Update 35.0</x:v>
      </x:c>
      <x:c r="H422" s="62" t="str"/>
      <x:c r="I422" s="62" t="str">
        <x:v>NOT_REVIEWED</x:v>
      </x:c>
      <x:c r="J422" s="62" t="str"/>
    </x:row>
    <x:row r="423">
      <x:c r="A423" s="31" t="str">
        <x:v>ARC-0118</x:v>
      </x:c>
      <x:c r="B423" s="31" t="str">
        <x:v>P2</x:v>
      </x:c>
      <x:c r="C423" s="31" t="str">
        <x:v>Melee Crescendo</x:v>
      </x:c>
      <x:c r="D423" s="31" t="str">
        <x:v>Melee Crescendo</x:v>
      </x:c>
      <x:c r="E423" s="31" t="str">
        <x:v>effect_text</x:v>
      </x:c>
      <x:c r="F423" s="62" t="str">
        <x:v>+60% Melee Damage while at max combo</x:v>
      </x:c>
      <x:c r="G423" s="62" t="str">
        <x:v>On Finisher Kill: Gain 6 Initial Combo for the rest of your mission</x:v>
      </x:c>
      <x:c r="H423" s="62" t="str">
        <x:v>comparison=HEURISTIC_TEXT_ONLY</x:v>
      </x:c>
      <x:c r="I423" s="62" t="str">
        <x:v>NOT_REVIEWED</x:v>
      </x:c>
      <x:c r="J423" s="62" t="str"/>
    </x:row>
    <x:row r="424">
      <x:c r="A424" s="31" t="str">
        <x:v>ARC-0119</x:v>
      </x:c>
      <x:c r="B424" s="31" t="str">
        <x:v>P2</x:v>
      </x:c>
      <x:c r="C424" s="31" t="str">
        <x:v>Melee Doughty</x:v>
      </x:c>
      <x:c r="D424" s="31" t="str">
        <x:v>Melee Doughty</x:v>
      </x:c>
      <x:c r="E424" s="31" t="str">
        <x:v>unique_name</x:v>
      </x:c>
      <x:c r="F424" s="62" t="str"/>
      <x:c r="G424" s="62" t="str">
        <x:v>/Lotus/Upgrades/CosmeticEnhancers/Offensive/CritDamageForPunctureStatus</x:v>
      </x:c>
      <x:c r="H424" s="62" t="str">
        <x:v>reason=MISSING_OR_DIFFERENT_STABLE_ID</x:v>
      </x:c>
      <x:c r="I424" s="62" t="str">
        <x:v>NOT_REVIEWED</x:v>
      </x:c>
      <x:c r="J424" s="62" t="str"/>
    </x:row>
    <x:row r="425">
      <x:c r="A425" s="31" t="str">
        <x:v>ARC-0119</x:v>
      </x:c>
      <x:c r="B425" s="31" t="str">
        <x:v>P2</x:v>
      </x:c>
      <x:c r="C425" s="31" t="str">
        <x:v>Melee Doughty</x:v>
      </x:c>
      <x:c r="D425" s="31" t="str">
        <x:v>Melee Doughty</x:v>
      </x:c>
      <x:c r="E425" s="31" t="str">
        <x:v>equipment_type</x:v>
      </x:c>
      <x:c r="F425" s="62" t="str"/>
      <x:c r="G425" s="62" t="str">
        <x:v>Melee Arcane</x:v>
      </x:c>
      <x:c r="H425" s="62" t="str">
        <x:v>legacy_subcategory=Höllvania; reason=EQUIPMENT_COMPATIBILITY_IS_SEPARATE_FROM_LEGACY_SUBCATEGORY</x:v>
      </x:c>
      <x:c r="I425" s="62" t="str">
        <x:v>NOT_REVIEWED</x:v>
      </x:c>
      <x:c r="J425" s="62" t="str"/>
    </x:row>
    <x:row r="426">
      <x:c r="A426" s="31" t="str">
        <x:v>ARC-0119</x:v>
      </x:c>
      <x:c r="B426" s="31" t="str">
        <x:v>P2</x:v>
      </x:c>
      <x:c r="C426" s="31" t="str">
        <x:v>Melee Doughty</x:v>
      </x:c>
      <x:c r="D426" s="31" t="str">
        <x:v>Melee Doughty</x:v>
      </x:c>
      <x:c r="E426" s="31" t="str">
        <x:v>introduced_update</x:v>
      </x:c>
      <x:c r="F426" s="62" t="str">
        <x:v>38.0</x:v>
      </x:c>
      <x:c r="G426" s="62" t="str">
        <x:v>Update 38.0</x:v>
      </x:c>
      <x:c r="H426" s="62" t="str"/>
      <x:c r="I426" s="62" t="str">
        <x:v>NOT_REVIEWED</x:v>
      </x:c>
      <x:c r="J426" s="62" t="str"/>
    </x:row>
    <x:row r="427">
      <x:c r="A427" s="31" t="str">
        <x:v>ARC-0119</x:v>
      </x:c>
      <x:c r="B427" s="31" t="str">
        <x:v>P2</x:v>
      </x:c>
      <x:c r="C427" s="31" t="str">
        <x:v>Melee Doughty</x:v>
      </x:c>
      <x:c r="D427" s="31" t="str">
        <x:v>Melee Doughty</x:v>
      </x:c>
      <x:c r="E427" s="31" t="str">
        <x:v>effect_text</x:v>
      </x:c>
      <x:c r="F427" s="62" t="str">
        <x:v>+90% Melee Damage for 8s after slide kills</x:v>
      </x:c>
      <x:c r="G427" s="62" t="str">
        <x:v>Gain 1.0x Critical Damage for every 10% &lt;DT_PUNCTURE_COLOR&gt;Puncture Status chance on your Melee Weapon.</x:v>
      </x:c>
      <x:c r="H427" s="62" t="str">
        <x:v>comparison=HEURISTIC_TEXT_ONLY</x:v>
      </x:c>
      <x:c r="I427" s="62" t="str">
        <x:v>NOT_REVIEWED</x:v>
      </x:c>
      <x:c r="J427" s="62" t="str"/>
    </x:row>
    <x:row r="428">
      <x:c r="A428" s="31" t="str">
        <x:v>ARC-0120</x:v>
      </x:c>
      <x:c r="B428" s="31" t="str">
        <x:v>P2</x:v>
      </x:c>
      <x:c r="C428" s="31" t="str">
        <x:v>Melee Duplicate</x:v>
      </x:c>
      <x:c r="D428" s="31" t="str">
        <x:v>Melee Duplicate</x:v>
      </x:c>
      <x:c r="E428" s="31" t="str">
        <x:v>unique_name</x:v>
      </x:c>
      <x:c r="F428" s="62" t="str"/>
      <x:c r="G428" s="62" t="str">
        <x:v>/Lotus/Upgrades/CosmeticEnhancers/Offensive/ReplayLightCritHits</x:v>
      </x:c>
      <x:c r="H428" s="62" t="str">
        <x:v>reason=MISSING_OR_DIFFERENT_STABLE_ID</x:v>
      </x:c>
      <x:c r="I428" s="62" t="str">
        <x:v>NOT_REVIEWED</x:v>
      </x:c>
      <x:c r="J428" s="62" t="str"/>
    </x:row>
    <x:row r="429">
      <x:c r="A429" s="31" t="str">
        <x:v>ARC-0120</x:v>
      </x:c>
      <x:c r="B429" s="31" t="str">
        <x:v>P2</x:v>
      </x:c>
      <x:c r="C429" s="31" t="str">
        <x:v>Melee Duplicate</x:v>
      </x:c>
      <x:c r="D429" s="31" t="str">
        <x:v>Melee Duplicate</x:v>
      </x:c>
      <x:c r="E429" s="31" t="str">
        <x:v>equipment_type</x:v>
      </x:c>
      <x:c r="F429" s="62" t="str"/>
      <x:c r="G429" s="62" t="str">
        <x:v>Melee Arcane</x:v>
      </x:c>
      <x:c r="H429" s="62" t="str">
        <x:v>legacy_subcategory=Netracell; reason=EQUIPMENT_COMPATIBILITY_IS_SEPARATE_FROM_LEGACY_SUBCATEGORY</x:v>
      </x:c>
      <x:c r="I429" s="62" t="str">
        <x:v>NOT_REVIEWED</x:v>
      </x:c>
      <x:c r="J429" s="62" t="str"/>
    </x:row>
    <x:row r="430">
      <x:c r="A430" s="31" t="str">
        <x:v>ARC-0120</x:v>
      </x:c>
      <x:c r="B430" s="31" t="str">
        <x:v>P2</x:v>
      </x:c>
      <x:c r="C430" s="31" t="str">
        <x:v>Melee Duplicate</x:v>
      </x:c>
      <x:c r="D430" s="31" t="str">
        <x:v>Melee Duplicate</x:v>
      </x:c>
      <x:c r="E430" s="31" t="str">
        <x:v>introduced_update</x:v>
      </x:c>
      <x:c r="F430" s="62" t="str">
        <x:v>35.0</x:v>
      </x:c>
      <x:c r="G430" s="62" t="str">
        <x:v>Update 35.0</x:v>
      </x:c>
      <x:c r="H430" s="62" t="str"/>
      <x:c r="I430" s="62" t="str">
        <x:v>NOT_REVIEWED</x:v>
      </x:c>
      <x:c r="J430" s="62" t="str"/>
    </x:row>
    <x:row r="431">
      <x:c r="A431" s="31" t="str">
        <x:v>ARC-0120</x:v>
      </x:c>
      <x:c r="B431" s="31" t="str">
        <x:v>P2</x:v>
      </x:c>
      <x:c r="C431" s="31" t="str">
        <x:v>Melee Duplicate</x:v>
      </x:c>
      <x:c r="D431" s="31" t="str">
        <x:v>Melee Duplicate</x:v>
      </x:c>
      <x:c r="E431" s="31" t="str">
        <x:v>effect_text</x:v>
      </x:c>
      <x:c r="F431" s="62" t="str">
        <x:v>30% chance to duplicate finisher damage as an explosion</x:v>
      </x:c>
      <x:c r="G431" s="62" t="str">
        <x:v>On Base Critical Hits: 100% chance for your attack to strike a second time</x:v>
      </x:c>
      <x:c r="H431" s="62" t="str">
        <x:v>comparison=HEURISTIC_TEXT_ONLY</x:v>
      </x:c>
      <x:c r="I431" s="62" t="str">
        <x:v>NOT_REVIEWED</x:v>
      </x:c>
      <x:c r="J431" s="62" t="str"/>
    </x:row>
    <x:row r="432">
      <x:c r="A432" s="31" t="str">
        <x:v>ARC-0121</x:v>
      </x:c>
      <x:c r="B432" s="31" t="str">
        <x:v>P2</x:v>
      </x:c>
      <x:c r="C432" s="31" t="str">
        <x:v>Melee Exposure</x:v>
      </x:c>
      <x:c r="D432" s="31" t="str">
        <x:v>Melee Exposure</x:v>
      </x:c>
      <x:c r="E432" s="31" t="str">
        <x:v>unique_name</x:v>
      </x:c>
      <x:c r="F432" s="62" t="str"/>
      <x:c r="G432" s="62" t="str">
        <x:v>/Lotus/Upgrades/CosmeticEnhancers/Offensive/CorrosiveMeleePerAbilityCast</x:v>
      </x:c>
      <x:c r="H432" s="62" t="str">
        <x:v>reason=MISSING_OR_DIFFERENT_STABLE_ID</x:v>
      </x:c>
      <x:c r="I432" s="62" t="str">
        <x:v>NOT_REVIEWED</x:v>
      </x:c>
      <x:c r="J432" s="62" t="str"/>
    </x:row>
    <x:row r="433">
      <x:c r="A433" s="31" t="str">
        <x:v>ARC-0121</x:v>
      </x:c>
      <x:c r="B433" s="31" t="str">
        <x:v>P2</x:v>
      </x:c>
      <x:c r="C433" s="31" t="str">
        <x:v>Melee Exposure</x:v>
      </x:c>
      <x:c r="D433" s="31" t="str">
        <x:v>Melee Exposure</x:v>
      </x:c>
      <x:c r="E433" s="31" t="str">
        <x:v>equipment_type</x:v>
      </x:c>
      <x:c r="F433" s="62" t="str"/>
      <x:c r="G433" s="62" t="str">
        <x:v>Melee Arcane</x:v>
      </x:c>
      <x:c r="H433" s="62" t="str">
        <x:v>legacy_subcategory=Netracell; reason=EQUIPMENT_COMPATIBILITY_IS_SEPARATE_FROM_LEGACY_SUBCATEGORY</x:v>
      </x:c>
      <x:c r="I433" s="62" t="str">
        <x:v>NOT_REVIEWED</x:v>
      </x:c>
      <x:c r="J433" s="62" t="str"/>
    </x:row>
    <x:row r="434">
      <x:c r="A434" s="31" t="str">
        <x:v>ARC-0121</x:v>
      </x:c>
      <x:c r="B434" s="31" t="str">
        <x:v>P2</x:v>
      </x:c>
      <x:c r="C434" s="31" t="str">
        <x:v>Melee Exposure</x:v>
      </x:c>
      <x:c r="D434" s="31" t="str">
        <x:v>Melee Exposure</x:v>
      </x:c>
      <x:c r="E434" s="31" t="str">
        <x:v>introduced_update</x:v>
      </x:c>
      <x:c r="F434" s="62" t="str">
        <x:v>35.0</x:v>
      </x:c>
      <x:c r="G434" s="62" t="str">
        <x:v>Update 35.0</x:v>
      </x:c>
      <x:c r="H434" s="62" t="str"/>
      <x:c r="I434" s="62" t="str">
        <x:v>NOT_REVIEWED</x:v>
      </x:c>
      <x:c r="J434" s="62" t="str"/>
    </x:row>
    <x:row r="435">
      <x:c r="A435" s="31" t="str">
        <x:v>ARC-0121</x:v>
      </x:c>
      <x:c r="B435" s="31" t="str">
        <x:v>P2</x:v>
      </x:c>
      <x:c r="C435" s="31" t="str">
        <x:v>Melee Exposure</x:v>
      </x:c>
      <x:c r="D435" s="31" t="str">
        <x:v>Melee Exposure</x:v>
      </x:c>
      <x:c r="E435" s="31" t="str">
        <x:v>effect_text</x:v>
      </x:c>
      <x:c r="F435" s="62" t="str">
        <x:v>+30% Ability Damage for 10s</x:v>
      </x:c>
      <x:c r="G435" s="62" t="str">
        <x:v>On Ability Cast: Gain 60% Corrosive Damage on Melee strikes for 25s. Stacks up to 240%.</x:v>
      </x:c>
      <x:c r="H435" s="62" t="str">
        <x:v>comparison=HEURISTIC_TEXT_ONLY</x:v>
      </x:c>
      <x:c r="I435" s="62" t="str">
        <x:v>NOT_REVIEWED</x:v>
      </x:c>
      <x:c r="J435" s="62" t="str"/>
    </x:row>
    <x:row r="436">
      <x:c r="A436" s="31" t="str">
        <x:v>ARC-0122</x:v>
      </x:c>
      <x:c r="B436" s="31" t="str">
        <x:v>P2</x:v>
      </x:c>
      <x:c r="C436" s="31" t="str">
        <x:v>Melee Fortification</x:v>
      </x:c>
      <x:c r="D436" s="31" t="str">
        <x:v>Melee Fortification</x:v>
      </x:c>
      <x:c r="E436" s="31" t="str">
        <x:v>unique_name</x:v>
      </x:c>
      <x:c r="F436" s="62" t="str"/>
      <x:c r="G436" s="62" t="str">
        <x:v>/Lotus/Upgrades/CosmeticEnhancers/Offensive/ArmorOnMeleeKill</x:v>
      </x:c>
      <x:c r="H436" s="62" t="str">
        <x:v>reason=MISSING_OR_DIFFERENT_STABLE_ID</x:v>
      </x:c>
      <x:c r="I436" s="62" t="str">
        <x:v>NOT_REVIEWED</x:v>
      </x:c>
      <x:c r="J436" s="62" t="str"/>
    </x:row>
    <x:row r="437">
      <x:c r="A437" s="31" t="str">
        <x:v>ARC-0122</x:v>
      </x:c>
      <x:c r="B437" s="31" t="str">
        <x:v>P2</x:v>
      </x:c>
      <x:c r="C437" s="31" t="str">
        <x:v>Melee Fortification</x:v>
      </x:c>
      <x:c r="D437" s="31" t="str">
        <x:v>Melee Fortification</x:v>
      </x:c>
      <x:c r="E437" s="31" t="str">
        <x:v>equipment_type</x:v>
      </x:c>
      <x:c r="F437" s="62" t="str"/>
      <x:c r="G437" s="62" t="str">
        <x:v>Melee Arcane</x:v>
      </x:c>
      <x:c r="H437" s="62" t="str">
        <x:v>legacy_subcategory=; reason=EQUIPMENT_COMPATIBILITY_IS_SEPARATE_FROM_LEGACY_SUBCATEGORY</x:v>
      </x:c>
      <x:c r="I437" s="62" t="str">
        <x:v>NOT_REVIEWED</x:v>
      </x:c>
      <x:c r="J437" s="62" t="str"/>
    </x:row>
    <x:row r="438">
      <x:c r="A438" s="31" t="str">
        <x:v>ARC-0122</x:v>
      </x:c>
      <x:c r="B438" s="31" t="str">
        <x:v>P2</x:v>
      </x:c>
      <x:c r="C438" s="31" t="str">
        <x:v>Melee Fortification</x:v>
      </x:c>
      <x:c r="D438" s="31" t="str">
        <x:v>Melee Fortification</x:v>
      </x:c>
      <x:c r="E438" s="31" t="str">
        <x:v>introduced_update</x:v>
      </x:c>
      <x:c r="F438" s="62" t="str"/>
      <x:c r="G438" s="62" t="str">
        <x:v>Update 35.0</x:v>
      </x:c>
      <x:c r="H438" s="62" t="str"/>
      <x:c r="I438" s="62" t="str">
        <x:v>NOT_REVIEWED</x:v>
      </x:c>
      <x:c r="J438" s="62" t="str"/>
    </x:row>
    <x:row r="439">
      <x:c r="A439" s="31" t="str">
        <x:v>ARC-0122</x:v>
      </x:c>
      <x:c r="B439" s="31" t="str">
        <x:v>P2</x:v>
      </x:c>
      <x:c r="C439" s="31" t="str">
        <x:v>Melee Fortification</x:v>
      </x:c>
      <x:c r="D439" s="31" t="str">
        <x:v>Melee Fortification</x:v>
      </x:c>
      <x:c r="E439" s="31" t="str">
        <x:v>effect_text</x:v>
      </x:c>
      <x:c r="F439" s="62" t="str"/>
      <x:c r="G439" s="62" t="str">
        <x:v>On Melee Kill: +210 Armor for 10s</x:v>
      </x:c>
      <x:c r="H439" s="62" t="str">
        <x:v>comparison=HEURISTIC_TEXT_ONLY</x:v>
      </x:c>
      <x:c r="I439" s="62" t="str">
        <x:v>NOT_REVIEWED</x:v>
      </x:c>
      <x:c r="J439" s="62" t="str"/>
    </x:row>
    <x:row r="440">
      <x:c r="A440" s="31" t="str">
        <x:v>ARC-0123</x:v>
      </x:c>
      <x:c r="B440" s="31" t="str">
        <x:v>P2</x:v>
      </x:c>
      <x:c r="C440" s="31" t="str">
        <x:v>Melee Influence</x:v>
      </x:c>
      <x:c r="D440" s="31" t="str">
        <x:v>Melee Influence</x:v>
      </x:c>
      <x:c r="E440" s="31" t="str">
        <x:v>unique_name</x:v>
      </x:c>
      <x:c r="F440" s="62" t="str"/>
      <x:c r="G440" s="62" t="str">
        <x:v>/Lotus/Upgrades/CosmeticEnhancers/Offensive/MeleeProcsSpread</x:v>
      </x:c>
      <x:c r="H440" s="62" t="str">
        <x:v>reason=MISSING_OR_DIFFERENT_STABLE_ID</x:v>
      </x:c>
      <x:c r="I440" s="62" t="str">
        <x:v>NOT_REVIEWED</x:v>
      </x:c>
      <x:c r="J440" s="62" t="str"/>
    </x:row>
    <x:row r="441">
      <x:c r="A441" s="31" t="str">
        <x:v>ARC-0123</x:v>
      </x:c>
      <x:c r="B441" s="31" t="str">
        <x:v>P2</x:v>
      </x:c>
      <x:c r="C441" s="31" t="str">
        <x:v>Melee Influence</x:v>
      </x:c>
      <x:c r="D441" s="31" t="str">
        <x:v>Melee Influence</x:v>
      </x:c>
      <x:c r="E441" s="31" t="str">
        <x:v>equipment_type</x:v>
      </x:c>
      <x:c r="F441" s="62" t="str"/>
      <x:c r="G441" s="62" t="str">
        <x:v>Melee Arcane</x:v>
      </x:c>
      <x:c r="H441" s="62" t="str">
        <x:v>legacy_subcategory=Melee Arcane; reason=EQUIPMENT_COMPATIBILITY_IS_SEPARATE_FROM_LEGACY_SUBCATEGORY</x:v>
      </x:c>
      <x:c r="I441" s="62" t="str">
        <x:v>NOT_REVIEWED</x:v>
      </x:c>
      <x:c r="J441" s="62" t="str"/>
    </x:row>
    <x:row r="442">
      <x:c r="A442" s="31" t="str">
        <x:v>ARC-0123</x:v>
      </x:c>
      <x:c r="B442" s="31" t="str">
        <x:v>P2</x:v>
      </x:c>
      <x:c r="C442" s="31" t="str">
        <x:v>Melee Influence</x:v>
      </x:c>
      <x:c r="D442" s="31" t="str">
        <x:v>Melee Influence</x:v>
      </x:c>
      <x:c r="E442" s="31" t="str">
        <x:v>introduced_update</x:v>
      </x:c>
      <x:c r="F442" s="62" t="str">
        <x:v>Whispers in the Walls</x:v>
      </x:c>
      <x:c r="G442" s="62" t="str">
        <x:v>Update 35.0</x:v>
      </x:c>
      <x:c r="H442" s="62" t="str"/>
      <x:c r="I442" s="62" t="str">
        <x:v>NOT_REVIEWED</x:v>
      </x:c>
      <x:c r="J442" s="62" t="str"/>
    </x:row>
    <x:row r="443">
      <x:c r="A443" s="31" t="str">
        <x:v>ARC-0123</x:v>
      </x:c>
      <x:c r="B443" s="31" t="str">
        <x:v>P2</x:v>
      </x:c>
      <x:c r="C443" s="31" t="str">
        <x:v>Melee Influence</x:v>
      </x:c>
      <x:c r="D443" s="31" t="str">
        <x:v>Melee Influence</x:v>
      </x:c>
      <x:c r="E443" s="31" t="str">
        <x:v>effect_text</x:v>
      </x:c>
      <x:c r="F443" s="62" t="str">
        <x:v>Spread status effects to nearby enemies</x:v>
      </x:c>
      <x:c r="G443" s="62" t="str">
        <x:v>On Melee &lt;DT_ELECTRICITY_COLOR&gt;Electricity Status: 20% chance for elemental Melee Status Effects to apply to enemies within 20m for 18s. Cannot refresh while active.</x:v>
      </x:c>
      <x:c r="H443" s="62" t="str">
        <x:v>comparison=HEURISTIC_TEXT_ONLY</x:v>
      </x:c>
      <x:c r="I443" s="62" t="str">
        <x:v>NOT_REVIEWED</x:v>
      </x:c>
      <x:c r="J443" s="62" t="str"/>
    </x:row>
    <x:row r="444">
      <x:c r="A444" s="31" t="str">
        <x:v>ARC-0124</x:v>
      </x:c>
      <x:c r="B444" s="31" t="str">
        <x:v>P2</x:v>
      </x:c>
      <x:c r="C444" s="31" t="str">
        <x:v>Melee Retaliation</x:v>
      </x:c>
      <x:c r="D444" s="31" t="str">
        <x:v>Melee Retaliation</x:v>
      </x:c>
      <x:c r="E444" s="31" t="str">
        <x:v>unique_name</x:v>
      </x:c>
      <x:c r="F444" s="62" t="str"/>
      <x:c r="G444" s="62" t="str">
        <x:v>/Lotus/Upgrades/CosmeticEnhancers/Offensive/MeleeDamageForActiveShields</x:v>
      </x:c>
      <x:c r="H444" s="62" t="str">
        <x:v>reason=MISSING_OR_DIFFERENT_STABLE_ID</x:v>
      </x:c>
      <x:c r="I444" s="62" t="str">
        <x:v>NOT_REVIEWED</x:v>
      </x:c>
      <x:c r="J444" s="62" t="str"/>
    </x:row>
    <x:row r="445">
      <x:c r="A445" s="31" t="str">
        <x:v>ARC-0124</x:v>
      </x:c>
      <x:c r="B445" s="31" t="str">
        <x:v>P2</x:v>
      </x:c>
      <x:c r="C445" s="31" t="str">
        <x:v>Melee Retaliation</x:v>
      </x:c>
      <x:c r="D445" s="31" t="str">
        <x:v>Melee Retaliation</x:v>
      </x:c>
      <x:c r="E445" s="31" t="str">
        <x:v>equipment_type</x:v>
      </x:c>
      <x:c r="F445" s="62" t="str"/>
      <x:c r="G445" s="62" t="str">
        <x:v>Melee Arcane</x:v>
      </x:c>
      <x:c r="H445" s="62" t="str">
        <x:v>legacy_subcategory=Netracell; reason=EQUIPMENT_COMPATIBILITY_IS_SEPARATE_FROM_LEGACY_SUBCATEGORY</x:v>
      </x:c>
      <x:c r="I445" s="62" t="str">
        <x:v>NOT_REVIEWED</x:v>
      </x:c>
      <x:c r="J445" s="62" t="str"/>
    </x:row>
    <x:row r="446">
      <x:c r="A446" s="31" t="str">
        <x:v>ARC-0124</x:v>
      </x:c>
      <x:c r="B446" s="31" t="str">
        <x:v>P2</x:v>
      </x:c>
      <x:c r="C446" s="31" t="str">
        <x:v>Melee Retaliation</x:v>
      </x:c>
      <x:c r="D446" s="31" t="str">
        <x:v>Melee Retaliation</x:v>
      </x:c>
      <x:c r="E446" s="31" t="str">
        <x:v>introduced_update</x:v>
      </x:c>
      <x:c r="F446" s="62" t="str">
        <x:v>35.0</x:v>
      </x:c>
      <x:c r="G446" s="62" t="str">
        <x:v>Update 35.0</x:v>
      </x:c>
      <x:c r="H446" s="62" t="str"/>
      <x:c r="I446" s="62" t="str">
        <x:v>NOT_REVIEWED</x:v>
      </x:c>
      <x:c r="J446" s="62" t="str"/>
    </x:row>
    <x:row r="447">
      <x:c r="A447" s="31" t="str">
        <x:v>ARC-0124</x:v>
      </x:c>
      <x:c r="B447" s="31" t="str">
        <x:v>P2</x:v>
      </x:c>
      <x:c r="C447" s="31" t="str">
        <x:v>Melee Retaliation</x:v>
      </x:c>
      <x:c r="D447" s="31" t="str">
        <x:v>Melee Retaliation</x:v>
      </x:c>
      <x:c r="E447" s="31" t="str">
        <x:v>effect_text</x:v>
      </x:c>
      <x:c r="F447" s="62" t="str">
        <x:v>+60% Melee Crit Chance for 10s</x:v>
      </x:c>
      <x:c r="G447" s="62" t="str">
        <x:v>Gain 30% Melee Damage for every 200 current Shields, up to 420%. Bonus halved for Overshields.</x:v>
      </x:c>
      <x:c r="H447" s="62" t="str">
        <x:v>comparison=HEURISTIC_TEXT_ONLY</x:v>
      </x:c>
      <x:c r="I447" s="62" t="str">
        <x:v>NOT_REVIEWED</x:v>
      </x:c>
      <x:c r="J447" s="62" t="str"/>
    </x:row>
    <x:row r="448">
      <x:c r="A448" s="31" t="str">
        <x:v>ARC-0125</x:v>
      </x:c>
      <x:c r="B448" s="31" t="str">
        <x:v>P2</x:v>
      </x:c>
      <x:c r="C448" s="31" t="str">
        <x:v>Melee Vortex</x:v>
      </x:c>
      <x:c r="D448" s="31" t="str">
        <x:v>Melee Vortex</x:v>
      </x:c>
      <x:c r="E448" s="31" t="str">
        <x:v>unique_name</x:v>
      </x:c>
      <x:c r="F448" s="62" t="str"/>
      <x:c r="G448" s="62" t="str">
        <x:v>/Lotus/Upgrades/CosmeticEnhancers/Offensive/PullEnemiesOnMeleeKill</x:v>
      </x:c>
      <x:c r="H448" s="62" t="str">
        <x:v>reason=MISSING_OR_DIFFERENT_STABLE_ID</x:v>
      </x:c>
      <x:c r="I448" s="62" t="str">
        <x:v>NOT_REVIEWED</x:v>
      </x:c>
      <x:c r="J448" s="62" t="str"/>
    </x:row>
    <x:row r="449">
      <x:c r="A449" s="31" t="str">
        <x:v>ARC-0125</x:v>
      </x:c>
      <x:c r="B449" s="31" t="str">
        <x:v>P2</x:v>
      </x:c>
      <x:c r="C449" s="31" t="str">
        <x:v>Melee Vortex</x:v>
      </x:c>
      <x:c r="D449" s="31" t="str">
        <x:v>Melee Vortex</x:v>
      </x:c>
      <x:c r="E449" s="31" t="str">
        <x:v>equipment_type</x:v>
      </x:c>
      <x:c r="F449" s="62" t="str"/>
      <x:c r="G449" s="62" t="str">
        <x:v>Melee Arcane</x:v>
      </x:c>
      <x:c r="H449" s="62" t="str">
        <x:v>legacy_subcategory=Netracell; reason=EQUIPMENT_COMPATIBILITY_IS_SEPARATE_FROM_LEGACY_SUBCATEGORY</x:v>
      </x:c>
      <x:c r="I449" s="62" t="str">
        <x:v>NOT_REVIEWED</x:v>
      </x:c>
      <x:c r="J449" s="62" t="str"/>
    </x:row>
    <x:row r="450">
      <x:c r="A450" s="31" t="str">
        <x:v>ARC-0125</x:v>
      </x:c>
      <x:c r="B450" s="31" t="str">
        <x:v>P2</x:v>
      </x:c>
      <x:c r="C450" s="31" t="str">
        <x:v>Melee Vortex</x:v>
      </x:c>
      <x:c r="D450" s="31" t="str">
        <x:v>Melee Vortex</x:v>
      </x:c>
      <x:c r="E450" s="31" t="str">
        <x:v>introduced_update</x:v>
      </x:c>
      <x:c r="F450" s="62" t="str">
        <x:v>35.0</x:v>
      </x:c>
      <x:c r="G450" s="62" t="str">
        <x:v>Update 35.0</x:v>
      </x:c>
      <x:c r="H450" s="62" t="str"/>
      <x:c r="I450" s="62" t="str">
        <x:v>NOT_REVIEWED</x:v>
      </x:c>
      <x:c r="J450" s="62" t="str"/>
    </x:row>
    <x:row r="451">
      <x:c r="A451" s="31" t="str">
        <x:v>ARC-0125</x:v>
      </x:c>
      <x:c r="B451" s="31" t="str">
        <x:v>P2</x:v>
      </x:c>
      <x:c r="C451" s="31" t="str">
        <x:v>Melee Vortex</x:v>
      </x:c>
      <x:c r="D451" s="31" t="str">
        <x:v>Melee Vortex</x:v>
      </x:c>
      <x:c r="E451" s="31" t="str">
        <x:v>effect_text</x:v>
      </x:c>
      <x:c r="F451" s="62" t="str">
        <x:v>Heavy attacks pull enemies in before impact</x:v>
      </x:c>
      <x:c r="G451" s="62" t="str">
        <x:v>Kill an enemy affected by &lt;DT_MAGNETIC_COLOR&gt;Magnetic Status for a 45% chance to pull in enemies within 18m radius</x:v>
      </x:c>
      <x:c r="H451" s="62" t="str">
        <x:v>comparison=HEURISTIC_TEXT_ONLY</x:v>
      </x:c>
      <x:c r="I451" s="62" t="str">
        <x:v>NOT_REVIEWED</x:v>
      </x:c>
      <x:c r="J451" s="62" t="str"/>
    </x:row>
    <x:row r="452">
      <x:c r="A452" s="31" t="str">
        <x:v>ARC-0126</x:v>
      </x:c>
      <x:c r="B452" s="31" t="str">
        <x:v>P2</x:v>
      </x:c>
      <x:c r="C452" s="31" t="str">
        <x:v>Molt Augmented</x:v>
      </x:c>
      <x:c r="D452" s="31" t="str">
        <x:v>Molt Augmented</x:v>
      </x:c>
      <x:c r="E452" s="31" t="str">
        <x:v>unique_name</x:v>
      </x:c>
      <x:c r="F452" s="62" t="str"/>
      <x:c r="G452" s="62" t="str">
        <x:v>/Lotus/Upgrades/CosmeticEnhancers/Offensive/PowerStrengthOnKill</x:v>
      </x:c>
      <x:c r="H452" s="62" t="str">
        <x:v>reason=MISSING_OR_DIFFERENT_STABLE_ID</x:v>
      </x:c>
      <x:c r="I452" s="62" t="str">
        <x:v>NOT_REVIEWED</x:v>
      </x:c>
      <x:c r="J452" s="62" t="str"/>
    </x:row>
    <x:row r="453">
      <x:c r="A453" s="31" t="str">
        <x:v>ARC-0126</x:v>
      </x:c>
      <x:c r="B453" s="31" t="str">
        <x:v>P2</x:v>
      </x:c>
      <x:c r="C453" s="31" t="str">
        <x:v>Molt Augmented</x:v>
      </x:c>
      <x:c r="D453" s="31" t="str">
        <x:v>Molt Augmented</x:v>
      </x:c>
      <x:c r="E453" s="31" t="str">
        <x:v>equipment_type</x:v>
      </x:c>
      <x:c r="F453" s="62" t="str"/>
      <x:c r="G453" s="62" t="str">
        <x:v>Warframe Arcane</x:v>
      </x:c>
      <x:c r="H453" s="62" t="str">
        <x:v>legacy_subcategory=Zariman; reason=EQUIPMENT_COMPATIBILITY_IS_SEPARATE_FROM_LEGACY_SUBCATEGORY</x:v>
      </x:c>
      <x:c r="I453" s="62" t="str">
        <x:v>NOT_REVIEWED</x:v>
      </x:c>
      <x:c r="J453" s="62" t="str"/>
    </x:row>
    <x:row r="454">
      <x:c r="A454" s="31" t="str">
        <x:v>ARC-0126</x:v>
      </x:c>
      <x:c r="B454" s="31" t="str">
        <x:v>P2</x:v>
      </x:c>
      <x:c r="C454" s="31" t="str">
        <x:v>Molt Augmented</x:v>
      </x:c>
      <x:c r="D454" s="31" t="str">
        <x:v>Molt Augmented</x:v>
      </x:c>
      <x:c r="E454" s="31" t="str">
        <x:v>introduced_update</x:v>
      </x:c>
      <x:c r="F454" s="62" t="str">
        <x:v>31.5</x:v>
      </x:c>
      <x:c r="G454" s="62" t="str">
        <x:v>Update 31.6</x:v>
      </x:c>
      <x:c r="H454" s="62" t="str"/>
      <x:c r="I454" s="62" t="str">
        <x:v>NOT_REVIEWED</x:v>
      </x:c>
      <x:c r="J454" s="62" t="str"/>
    </x:row>
    <x:row r="455">
      <x:c r="A455" s="31" t="str">
        <x:v>ARC-0126</x:v>
      </x:c>
      <x:c r="B455" s="31" t="str">
        <x:v>P2</x:v>
      </x:c>
      <x:c r="C455" s="31" t="str">
        <x:v>Molt Augmented</x:v>
      </x:c>
      <x:c r="D455" s="31" t="str">
        <x:v>Molt Augmented</x:v>
      </x:c>
      <x:c r="E455" s="31" t="str">
        <x:v>effect_text</x:v>
      </x:c>
      <x:c r="F455" s="62" t="str">
        <x:v>+0.2% Ability Strength per kill; caps at +60%</x:v>
      </x:c>
      <x:c r="G455" s="62" t="str">
        <x:v>On Kill:\n+0.24% Ability Strength. Stacks up to 250x.\n+1 Arcane Revive
+1 Arcane Revive</x:v>
      </x:c>
      <x:c r="H455" s="62" t="str">
        <x:v>comparison=HEURISTIC_TEXT_ONLY</x:v>
      </x:c>
      <x:c r="I455" s="62" t="str">
        <x:v>NOT_REVIEWED</x:v>
      </x:c>
      <x:c r="J455" s="62" t="str"/>
    </x:row>
    <x:row r="456">
      <x:c r="A456" s="31" t="str">
        <x:v>ARC-0127</x:v>
      </x:c>
      <x:c r="B456" s="31" t="str">
        <x:v>P2</x:v>
      </x:c>
      <x:c r="C456" s="31" t="str">
        <x:v>Molt Efficiency</x:v>
      </x:c>
      <x:c r="D456" s="31" t="str">
        <x:v>Molt Efficiency</x:v>
      </x:c>
      <x:c r="E456" s="31" t="str">
        <x:v>unique_name</x:v>
      </x:c>
      <x:c r="F456" s="62" t="str"/>
      <x:c r="G456" s="62" t="str">
        <x:v>/Lotus/Upgrades/CosmeticEnhancers/Zariman/WarframeOnShieldUptimePowerDuration</x:v>
      </x:c>
      <x:c r="H456" s="62" t="str">
        <x:v>reason=MISSING_OR_DIFFERENT_STABLE_ID</x:v>
      </x:c>
      <x:c r="I456" s="62" t="str">
        <x:v>NOT_REVIEWED</x:v>
      </x:c>
      <x:c r="J456" s="62" t="str"/>
    </x:row>
    <x:row r="457">
      <x:c r="A457" s="31" t="str">
        <x:v>ARC-0127</x:v>
      </x:c>
      <x:c r="B457" s="31" t="str">
        <x:v>P2</x:v>
      </x:c>
      <x:c r="C457" s="31" t="str">
        <x:v>Molt Efficiency</x:v>
      </x:c>
      <x:c r="D457" s="31" t="str">
        <x:v>Molt Efficiency</x:v>
      </x:c>
      <x:c r="E457" s="31" t="str">
        <x:v>equipment_type</x:v>
      </x:c>
      <x:c r="F457" s="62" t="str"/>
      <x:c r="G457" s="62" t="str">
        <x:v>Warframe Arcane</x:v>
      </x:c>
      <x:c r="H457" s="62" t="str">
        <x:v>legacy_subcategory=Zariman; reason=EQUIPMENT_COMPATIBILITY_IS_SEPARATE_FROM_LEGACY_SUBCATEGORY</x:v>
      </x:c>
      <x:c r="I457" s="62" t="str">
        <x:v>NOT_REVIEWED</x:v>
      </x:c>
      <x:c r="J457" s="62" t="str"/>
    </x:row>
    <x:row r="458">
      <x:c r="A458" s="31" t="str">
        <x:v>ARC-0127</x:v>
      </x:c>
      <x:c r="B458" s="31" t="str">
        <x:v>P2</x:v>
      </x:c>
      <x:c r="C458" s="31" t="str">
        <x:v>Molt Efficiency</x:v>
      </x:c>
      <x:c r="D458" s="31" t="str">
        <x:v>Molt Efficiency</x:v>
      </x:c>
      <x:c r="E458" s="31" t="str">
        <x:v>introduced_update</x:v>
      </x:c>
      <x:c r="F458" s="62" t="str">
        <x:v>31.5</x:v>
      </x:c>
      <x:c r="G458" s="62" t="str">
        <x:v>Update 31.5</x:v>
      </x:c>
      <x:c r="H458" s="62" t="str"/>
      <x:c r="I458" s="62" t="str">
        <x:v>NOT_REVIEWED</x:v>
      </x:c>
      <x:c r="J458" s="62" t="str"/>
    </x:row>
    <x:row r="459">
      <x:c r="A459" s="31" t="str">
        <x:v>ARC-0127</x:v>
      </x:c>
      <x:c r="B459" s="31" t="str">
        <x:v>P2</x:v>
      </x:c>
      <x:c r="C459" s="31" t="str">
        <x:v>Molt Efficiency</x:v>
      </x:c>
      <x:c r="D459" s="31" t="str">
        <x:v>Molt Efficiency</x:v>
      </x:c>
      <x:c r="E459" s="31" t="str">
        <x:v>effect_text</x:v>
      </x:c>
      <x:c r="F459" s="62" t="str">
        <x:v>While an Ability is active: +18% Damage Reduction; stacks to +54%</x:v>
      </x:c>
      <x:c r="G459" s="62" t="str">
        <x:v>While Shields are Active: Gain 6% Ability Duration per second, up to a maximum of 36%   
+1 Arcane Revive</x:v>
      </x:c>
      <x:c r="H459" s="62" t="str">
        <x:v>comparison=HEURISTIC_TEXT_ONLY</x:v>
      </x:c>
      <x:c r="I459" s="62" t="str">
        <x:v>NOT_REVIEWED</x:v>
      </x:c>
      <x:c r="J459" s="62" t="str"/>
    </x:row>
    <x:row r="460">
      <x:c r="A460" s="31" t="str">
        <x:v>ARC-0128</x:v>
      </x:c>
      <x:c r="B460" s="31" t="str">
        <x:v>P2</x:v>
      </x:c>
      <x:c r="C460" s="31" t="str">
        <x:v>Molt Reconstruct</x:v>
      </x:c>
      <x:c r="D460" s="31" t="str">
        <x:v>Molt Reconstruct</x:v>
      </x:c>
      <x:c r="E460" s="31" t="str">
        <x:v>unique_name</x:v>
      </x:c>
      <x:c r="F460" s="62" t="str"/>
      <x:c r="G460" s="62" t="str">
        <x:v>/Lotus/Upgrades/CosmeticEnhancers/Utility/HealAlliesOnEnergySpent</x:v>
      </x:c>
      <x:c r="H460" s="62" t="str">
        <x:v>reason=MISSING_OR_DIFFERENT_STABLE_ID</x:v>
      </x:c>
      <x:c r="I460" s="62" t="str">
        <x:v>NOT_REVIEWED</x:v>
      </x:c>
      <x:c r="J460" s="62" t="str"/>
    </x:row>
    <x:row r="461">
      <x:c r="A461" s="31" t="str">
        <x:v>ARC-0128</x:v>
      </x:c>
      <x:c r="B461" s="31" t="str">
        <x:v>P2</x:v>
      </x:c>
      <x:c r="C461" s="31" t="str">
        <x:v>Molt Reconstruct</x:v>
      </x:c>
      <x:c r="D461" s="31" t="str">
        <x:v>Molt Reconstruct</x:v>
      </x:c>
      <x:c r="E461" s="31" t="str">
        <x:v>equipment_type</x:v>
      </x:c>
      <x:c r="F461" s="62" t="str"/>
      <x:c r="G461" s="62" t="str">
        <x:v>Warframe Arcane</x:v>
      </x:c>
      <x:c r="H461" s="62" t="str">
        <x:v>legacy_subcategory=Zariman; reason=EQUIPMENT_COMPATIBILITY_IS_SEPARATE_FROM_LEGACY_SUBCATEGORY</x:v>
      </x:c>
      <x:c r="I461" s="62" t="str">
        <x:v>NOT_REVIEWED</x:v>
      </x:c>
      <x:c r="J461" s="62" t="str"/>
    </x:row>
    <x:row r="462">
      <x:c r="A462" s="31" t="str">
        <x:v>ARC-0128</x:v>
      </x:c>
      <x:c r="B462" s="31" t="str">
        <x:v>P2</x:v>
      </x:c>
      <x:c r="C462" s="31" t="str">
        <x:v>Molt Reconstruct</x:v>
      </x:c>
      <x:c r="D462" s="31" t="str">
        <x:v>Molt Reconstruct</x:v>
      </x:c>
      <x:c r="E462" s="31" t="str">
        <x:v>introduced_update</x:v>
      </x:c>
      <x:c r="F462" s="62" t="str">
        <x:v>31.5</x:v>
      </x:c>
      <x:c r="G462" s="62" t="str">
        <x:v>Update 31.6</x:v>
      </x:c>
      <x:c r="H462" s="62" t="str"/>
      <x:c r="I462" s="62" t="str">
        <x:v>NOT_REVIEWED</x:v>
      </x:c>
      <x:c r="J462" s="62" t="str"/>
    </x:row>
    <x:row r="463">
      <x:c r="A463" s="31" t="str">
        <x:v>ARC-0128</x:v>
      </x:c>
      <x:c r="B463" s="31" t="str">
        <x:v>P2</x:v>
      </x:c>
      <x:c r="C463" s="31" t="str">
        <x:v>Molt Reconstruct</x:v>
      </x:c>
      <x:c r="D463" s="31" t="str">
        <x:v>Molt Reconstruct</x:v>
      </x:c>
      <x:c r="E463" s="31" t="str">
        <x:v>effect_text</x:v>
      </x:c>
      <x:c r="F463" s="62" t="str">
        <x:v>+25 Health restored per Ability cast</x:v>
      </x:c>
      <x:c r="G463" s="62" t="str">
        <x:v>Heal yourself and allies within Affinity Range 6 Health for each Energy point spent on the initial casting cost of abilities.
+1 Arcane Revive</x:v>
      </x:c>
      <x:c r="H463" s="62" t="str">
        <x:v>comparison=HEURISTIC_TEXT_ONLY</x:v>
      </x:c>
      <x:c r="I463" s="62" t="str">
        <x:v>NOT_REVIEWED</x:v>
      </x:c>
      <x:c r="J463" s="62" t="str"/>
    </x:row>
    <x:row r="464">
      <x:c r="A464" s="31" t="str">
        <x:v>ARC-0129</x:v>
      </x:c>
      <x:c r="B464" s="31" t="str">
        <x:v>P2</x:v>
      </x:c>
      <x:c r="C464" s="31" t="str">
        <x:v>Molt Vigor</x:v>
      </x:c>
      <x:c r="D464" s="31" t="str">
        <x:v>Molt Vigor</x:v>
      </x:c>
      <x:c r="E464" s="31" t="str">
        <x:v>unique_name</x:v>
      </x:c>
      <x:c r="F464" s="62" t="str"/>
      <x:c r="G464" s="62" t="str">
        <x:v>/Lotus/Upgrades/CosmeticEnhancers/Zariman/WarframeOnOperatorAbilityPowerStrength</x:v>
      </x:c>
      <x:c r="H464" s="62" t="str">
        <x:v>reason=MISSING_OR_DIFFERENT_STABLE_ID</x:v>
      </x:c>
      <x:c r="I464" s="62" t="str">
        <x:v>NOT_REVIEWED</x:v>
      </x:c>
      <x:c r="J464" s="62" t="str"/>
    </x:row>
    <x:row r="465">
      <x:c r="A465" s="31" t="str">
        <x:v>ARC-0129</x:v>
      </x:c>
      <x:c r="B465" s="31" t="str">
        <x:v>P2</x:v>
      </x:c>
      <x:c r="C465" s="31" t="str">
        <x:v>Molt Vigor</x:v>
      </x:c>
      <x:c r="D465" s="31" t="str">
        <x:v>Molt Vigor</x:v>
      </x:c>
      <x:c r="E465" s="31" t="str">
        <x:v>equipment_type</x:v>
      </x:c>
      <x:c r="F465" s="62" t="str"/>
      <x:c r="G465" s="62" t="str">
        <x:v>Warframe Arcane</x:v>
      </x:c>
      <x:c r="H465" s="62" t="str">
        <x:v>legacy_subcategory=Zariman; reason=EQUIPMENT_COMPATIBILITY_IS_SEPARATE_FROM_LEGACY_SUBCATEGORY</x:v>
      </x:c>
      <x:c r="I465" s="62" t="str">
        <x:v>NOT_REVIEWED</x:v>
      </x:c>
      <x:c r="J465" s="62" t="str"/>
    </x:row>
    <x:row r="466">
      <x:c r="A466" s="31" t="str">
        <x:v>ARC-0129</x:v>
      </x:c>
      <x:c r="B466" s="31" t="str">
        <x:v>P2</x:v>
      </x:c>
      <x:c r="C466" s="31" t="str">
        <x:v>Molt Vigor</x:v>
      </x:c>
      <x:c r="D466" s="31" t="str">
        <x:v>Molt Vigor</x:v>
      </x:c>
      <x:c r="E466" s="31" t="str">
        <x:v>introduced_update</x:v>
      </x:c>
      <x:c r="F466" s="62" t="str">
        <x:v>31.5</x:v>
      </x:c>
      <x:c r="G466" s="62" t="str">
        <x:v>Update 31.5</x:v>
      </x:c>
      <x:c r="H466" s="62" t="str"/>
      <x:c r="I466" s="62" t="str">
        <x:v>NOT_REVIEWED</x:v>
      </x:c>
      <x:c r="J466" s="62" t="str"/>
    </x:row>
    <x:row r="467">
      <x:c r="A467" s="31" t="str">
        <x:v>ARC-0129</x:v>
      </x:c>
      <x:c r="B467" s="31" t="str">
        <x:v>P2</x:v>
      </x:c>
      <x:c r="C467" s="31" t="str">
        <x:v>Molt Vigor</x:v>
      </x:c>
      <x:c r="D467" s="31" t="str">
        <x:v>Molt Vigor</x:v>
      </x:c>
      <x:c r="E467" s="31" t="str">
        <x:v>effect_text</x:v>
      </x:c>
      <x:c r="F467" s="62" t="str">
        <x:v>+300 Max Shields; +600 Shields on spawn</x:v>
      </x:c>
      <x:c r="G467" s="62" t="str">
        <x:v>On Operator Ability:\n45% Ability Strength on next Warframe Ability Cast\n+1 Arcane Revive
+1 Arcane Revive</x:v>
      </x:c>
      <x:c r="H467" s="62" t="str">
        <x:v>comparison=HEURISTIC_TEXT_ONLY</x:v>
      </x:c>
      <x:c r="I467" s="62" t="str">
        <x:v>NOT_REVIEWED</x:v>
      </x:c>
      <x:c r="J467" s="62" t="str"/>
    </x:row>
    <x:row r="468">
      <x:c r="A468" s="31" t="str">
        <x:v>ARC-0130</x:v>
      </x:c>
      <x:c r="B468" s="31" t="str">
        <x:v>P2</x:v>
      </x:c>
      <x:c r="C468" s="31" t="str">
        <x:v>Pax Bolt</x:v>
      </x:c>
      <x:c r="D468" s="31" t="str">
        <x:v>Pax Bolt</x:v>
      </x:c>
      <x:c r="E468" s="31" t="str">
        <x:v>unique_name</x:v>
      </x:c>
      <x:c r="F468" s="62" t="str"/>
      <x:c r="G468" s="62" t="str">
        <x:v>/Lotus/Upgrades/CosmeticEnhancers/Utility/EnergyEfficiencyOnHeadshot</x:v>
      </x:c>
      <x:c r="H468" s="62" t="str">
        <x:v>reason=MISSING_OR_DIFFERENT_STABLE_ID</x:v>
      </x:c>
      <x:c r="I468" s="62" t="str">
        <x:v>NOT_REVIEWED</x:v>
      </x:c>
      <x:c r="J468" s="62" t="str"/>
    </x:row>
    <x:row r="469">
      <x:c r="A469" s="31" t="str">
        <x:v>ARC-0130</x:v>
      </x:c>
      <x:c r="B469" s="31" t="str">
        <x:v>P2</x:v>
      </x:c>
      <x:c r="C469" s="31" t="str">
        <x:v>Pax Bolt</x:v>
      </x:c>
      <x:c r="D469" s="31" t="str">
        <x:v>Pax Bolt</x:v>
      </x:c>
      <x:c r="E469" s="31" t="str">
        <x:v>equipment_type</x:v>
      </x:c>
      <x:c r="F469" s="62" t="str"/>
      <x:c r="G469" s="62" t="str">
        <x:v>Kitgun Arcane</x:v>
      </x:c>
      <x:c r="H469" s="62" t="str">
        <x:v>legacy_subcategory=Pax; reason=EQUIPMENT_COMPATIBILITY_IS_SEPARATE_FROM_LEGACY_SUBCATEGORY</x:v>
      </x:c>
      <x:c r="I469" s="62" t="str">
        <x:v>NOT_REVIEWED</x:v>
      </x:c>
      <x:c r="J469" s="62" t="str"/>
    </x:row>
    <x:row r="470">
      <x:c r="A470" s="31" t="str">
        <x:v>ARC-0130</x:v>
      </x:c>
      <x:c r="B470" s="31" t="str">
        <x:v>P2</x:v>
      </x:c>
      <x:c r="C470" s="31" t="str">
        <x:v>Pax Bolt</x:v>
      </x:c>
      <x:c r="D470" s="31" t="str">
        <x:v>Pax Bolt</x:v>
      </x:c>
      <x:c r="E470" s="31" t="str">
        <x:v>introduced_update</x:v>
      </x:c>
      <x:c r="F470" s="62" t="str">
        <x:v>24.0</x:v>
      </x:c>
      <x:c r="G470" s="62" t="str">
        <x:v>Update 24.0</x:v>
      </x:c>
      <x:c r="H470" s="62" t="str"/>
      <x:c r="I470" s="62" t="str">
        <x:v>NOT_REVIEWED</x:v>
      </x:c>
      <x:c r="J470" s="62" t="str"/>
    </x:row>
    <x:row r="471">
      <x:c r="A471" s="31" t="str">
        <x:v>ARC-0130</x:v>
      </x:c>
      <x:c r="B471" s="31" t="str">
        <x:v>P2</x:v>
      </x:c>
      <x:c r="C471" s="31" t="str">
        <x:v>Pax Bolt</x:v>
      </x:c>
      <x:c r="D471" s="31" t="str">
        <x:v>Pax Bolt</x:v>
      </x:c>
      <x:c r="E471" s="31" t="str">
        <x:v>effect_text</x:v>
      </x:c>
      <x:c r="F471" s="62" t="str">
        <x:v>+60% Secondary Crit Damage for 12s; stacks 3×</x:v>
      </x:c>
      <x:c r="G471" s="62" t="str">
        <x:v>On Headshot Kill:\n+30% Ability Efficiency and +30% Ability Strength on the next Ability used within 4s.</x:v>
      </x:c>
      <x:c r="H471" s="62" t="str">
        <x:v>comparison=HEURISTIC_TEXT_ONLY</x:v>
      </x:c>
      <x:c r="I471" s="62" t="str">
        <x:v>NOT_REVIEWED</x:v>
      </x:c>
      <x:c r="J471" s="62" t="str"/>
    </x:row>
    <x:row r="472">
      <x:c r="A472" s="31" t="str">
        <x:v>ARC-0131</x:v>
      </x:c>
      <x:c r="B472" s="31" t="str">
        <x:v>P2</x:v>
      </x:c>
      <x:c r="C472" s="31" t="str">
        <x:v>Pax Charge</x:v>
      </x:c>
      <x:c r="D472" s="31" t="str">
        <x:v>Pax Charge</x:v>
      </x:c>
      <x:c r="E472" s="31" t="str">
        <x:v>unique_name</x:v>
      </x:c>
      <x:c r="F472" s="62" t="str"/>
      <x:c r="G472" s="62" t="str">
        <x:v>/Lotus/Upgrades/CosmeticEnhancers/Utility/BulletToBattery</x:v>
      </x:c>
      <x:c r="H472" s="62" t="str">
        <x:v>reason=MISSING_OR_DIFFERENT_STABLE_ID</x:v>
      </x:c>
      <x:c r="I472" s="62" t="str">
        <x:v>NOT_REVIEWED</x:v>
      </x:c>
      <x:c r="J472" s="62" t="str"/>
    </x:row>
    <x:row r="473">
      <x:c r="A473" s="31" t="str">
        <x:v>ARC-0131</x:v>
      </x:c>
      <x:c r="B473" s="31" t="str">
        <x:v>P2</x:v>
      </x:c>
      <x:c r="C473" s="31" t="str">
        <x:v>Pax Charge</x:v>
      </x:c>
      <x:c r="D473" s="31" t="str">
        <x:v>Pax Charge</x:v>
      </x:c>
      <x:c r="E473" s="31" t="str">
        <x:v>equipment_type</x:v>
      </x:c>
      <x:c r="F473" s="62" t="str"/>
      <x:c r="G473" s="62" t="str">
        <x:v>Kitgun Arcane</x:v>
      </x:c>
      <x:c r="H473" s="62" t="str">
        <x:v>legacy_subcategory=Pax; reason=EQUIPMENT_COMPATIBILITY_IS_SEPARATE_FROM_LEGACY_SUBCATEGORY</x:v>
      </x:c>
      <x:c r="I473" s="62" t="str">
        <x:v>NOT_REVIEWED</x:v>
      </x:c>
      <x:c r="J473" s="62" t="str"/>
    </x:row>
    <x:row r="474">
      <x:c r="A474" s="31" t="str">
        <x:v>ARC-0131</x:v>
      </x:c>
      <x:c r="B474" s="31" t="str">
        <x:v>P2</x:v>
      </x:c>
      <x:c r="C474" s="31" t="str">
        <x:v>Pax Charge</x:v>
      </x:c>
      <x:c r="D474" s="31" t="str">
        <x:v>Pax Charge</x:v>
      </x:c>
      <x:c r="E474" s="31" t="str">
        <x:v>introduced_update</x:v>
      </x:c>
      <x:c r="F474" s="62" t="str">
        <x:v>24.0</x:v>
      </x:c>
      <x:c r="G474" s="62" t="str">
        <x:v>Update 24.0</x:v>
      </x:c>
      <x:c r="H474" s="62" t="str"/>
      <x:c r="I474" s="62" t="str">
        <x:v>NOT_REVIEWED</x:v>
      </x:c>
      <x:c r="J474" s="62" t="str"/>
    </x:row>
    <x:row r="475">
      <x:c r="A475" s="31" t="str">
        <x:v>ARC-0131</x:v>
      </x:c>
      <x:c r="B475" s="31" t="str">
        <x:v>P2</x:v>
      </x:c>
      <x:c r="C475" s="31" t="str">
        <x:v>Pax Charge</x:v>
      </x:c>
      <x:c r="D475" s="31" t="str">
        <x:v>Pax Charge</x:v>
      </x:c>
      <x:c r="E475" s="31" t="str">
        <x:v>effect_text</x:v>
      </x:c>
      <x:c r="F475" s="62" t="str">
        <x:v>Reloads Kitgun fully for free on kill</x:v>
      </x:c>
      <x:c r="G475" s="62" t="str">
        <x:v>Battery Recharge Delay is reduced by +50%</x:v>
      </x:c>
      <x:c r="H475" s="62" t="str">
        <x:v>comparison=HEURISTIC_TEXT_ONLY</x:v>
      </x:c>
      <x:c r="I475" s="62" t="str">
        <x:v>NOT_REVIEWED</x:v>
      </x:c>
      <x:c r="J475" s="62" t="str"/>
    </x:row>
    <x:row r="476">
      <x:c r="A476" s="31" t="str">
        <x:v>ARC-0132</x:v>
      </x:c>
      <x:c r="B476" s="31" t="str">
        <x:v>P2</x:v>
      </x:c>
      <x:c r="C476" s="31" t="str">
        <x:v>Pax Seeker</x:v>
      </x:c>
      <x:c r="D476" s="31" t="str">
        <x:v>Pax Seeker</x:v>
      </x:c>
      <x:c r="E476" s="31" t="str">
        <x:v>unique_name</x:v>
      </x:c>
      <x:c r="F476" s="62" t="str"/>
      <x:c r="G476" s="62" t="str">
        <x:v>/Lotus/Upgrades/CosmeticEnhancers/Offensive/SeekerProjOnHeadshotKill</x:v>
      </x:c>
      <x:c r="H476" s="62" t="str">
        <x:v>reason=MISSING_OR_DIFFERENT_STABLE_ID</x:v>
      </x:c>
      <x:c r="I476" s="62" t="str">
        <x:v>NOT_REVIEWED</x:v>
      </x:c>
      <x:c r="J476" s="62" t="str"/>
    </x:row>
    <x:row r="477">
      <x:c r="A477" s="31" t="str">
        <x:v>ARC-0132</x:v>
      </x:c>
      <x:c r="B477" s="31" t="str">
        <x:v>P2</x:v>
      </x:c>
      <x:c r="C477" s="31" t="str">
        <x:v>Pax Seeker</x:v>
      </x:c>
      <x:c r="D477" s="31" t="str">
        <x:v>Pax Seeker</x:v>
      </x:c>
      <x:c r="E477" s="31" t="str">
        <x:v>equipment_type</x:v>
      </x:c>
      <x:c r="F477" s="62" t="str"/>
      <x:c r="G477" s="62" t="str">
        <x:v>Kitgun Arcane</x:v>
      </x:c>
      <x:c r="H477" s="62" t="str">
        <x:v>legacy_subcategory=Pax; reason=EQUIPMENT_COMPATIBILITY_IS_SEPARATE_FROM_LEGACY_SUBCATEGORY</x:v>
      </x:c>
      <x:c r="I477" s="62" t="str">
        <x:v>NOT_REVIEWED</x:v>
      </x:c>
      <x:c r="J477" s="62" t="str"/>
    </x:row>
    <x:row r="478">
      <x:c r="A478" s="31" t="str">
        <x:v>ARC-0132</x:v>
      </x:c>
      <x:c r="B478" s="31" t="str">
        <x:v>P2</x:v>
      </x:c>
      <x:c r="C478" s="31" t="str">
        <x:v>Pax Seeker</x:v>
      </x:c>
      <x:c r="D478" s="31" t="str">
        <x:v>Pax Seeker</x:v>
      </x:c>
      <x:c r="E478" s="31" t="str">
        <x:v>introduced_update</x:v>
      </x:c>
      <x:c r="F478" s="62" t="str">
        <x:v>24.0</x:v>
      </x:c>
      <x:c r="G478" s="62" t="str">
        <x:v>Update 24.0</x:v>
      </x:c>
      <x:c r="H478" s="62" t="str"/>
      <x:c r="I478" s="62" t="str">
        <x:v>NOT_REVIEWED</x:v>
      </x:c>
      <x:c r="J478" s="62" t="str"/>
    </x:row>
    <x:row r="479">
      <x:c r="A479" s="31" t="str">
        <x:v>ARC-0132</x:v>
      </x:c>
      <x:c r="B479" s="31" t="str">
        <x:v>P2</x:v>
      </x:c>
      <x:c r="C479" s="31" t="str">
        <x:v>Pax Seeker</x:v>
      </x:c>
      <x:c r="D479" s="31" t="str">
        <x:v>Pax Seeker</x:v>
      </x:c>
      <x:c r="E479" s="31" t="str">
        <x:v>effect_text</x:v>
      </x:c>
      <x:c r="F479" s="62" t="str">
        <x:v>On kill: fires 3 homing projectiles at nearby enemies</x:v>
      </x:c>
      <x:c r="G479" s="62" t="str">
        <x:v>On Headshot Kill:\n4 projectiles burst from the target and seek the heads of nearby enemies.</x:v>
      </x:c>
      <x:c r="H479" s="62" t="str">
        <x:v>comparison=HEURISTIC_TEXT_ONLY</x:v>
      </x:c>
      <x:c r="I479" s="62" t="str">
        <x:v>NOT_REVIEWED</x:v>
      </x:c>
      <x:c r="J479" s="62" t="str"/>
    </x:row>
    <x:row r="480">
      <x:c r="A480" s="31" t="str">
        <x:v>ARC-0133</x:v>
      </x:c>
      <x:c r="B480" s="31" t="str">
        <x:v>P2</x:v>
      </x:c>
      <x:c r="C480" s="31" t="str">
        <x:v>Pax Soar</x:v>
      </x:c>
      <x:c r="D480" s="31" t="str">
        <x:v>Pax Soar</x:v>
      </x:c>
      <x:c r="E480" s="31" t="str">
        <x:v>unique_name</x:v>
      </x:c>
      <x:c r="F480" s="62" t="str"/>
      <x:c r="G480" s="62" t="str">
        <x:v>/Lotus/Upgrades/CosmeticEnhancers/Offensive/EyeInTheSky</x:v>
      </x:c>
      <x:c r="H480" s="62" t="str">
        <x:v>reason=MISSING_OR_DIFFERENT_STABLE_ID</x:v>
      </x:c>
      <x:c r="I480" s="62" t="str">
        <x:v>NOT_REVIEWED</x:v>
      </x:c>
      <x:c r="J480" s="62" t="str"/>
    </x:row>
    <x:row r="481">
      <x:c r="A481" s="31" t="str">
        <x:v>ARC-0133</x:v>
      </x:c>
      <x:c r="B481" s="31" t="str">
        <x:v>P2</x:v>
      </x:c>
      <x:c r="C481" s="31" t="str">
        <x:v>Pax Soar</x:v>
      </x:c>
      <x:c r="D481" s="31" t="str">
        <x:v>Pax Soar</x:v>
      </x:c>
      <x:c r="E481" s="31" t="str">
        <x:v>equipment_type</x:v>
      </x:c>
      <x:c r="F481" s="62" t="str"/>
      <x:c r="G481" s="62" t="str">
        <x:v>Kitgun Arcane</x:v>
      </x:c>
      <x:c r="H481" s="62" t="str">
        <x:v>legacy_subcategory=Pax; reason=EQUIPMENT_COMPATIBILITY_IS_SEPARATE_FROM_LEGACY_SUBCATEGORY</x:v>
      </x:c>
      <x:c r="I481" s="62" t="str">
        <x:v>NOT_REVIEWED</x:v>
      </x:c>
      <x:c r="J481" s="62" t="str"/>
    </x:row>
    <x:row r="482">
      <x:c r="A482" s="31" t="str">
        <x:v>ARC-0133</x:v>
      </x:c>
      <x:c r="B482" s="31" t="str">
        <x:v>P2</x:v>
      </x:c>
      <x:c r="C482" s="31" t="str">
        <x:v>Pax Soar</x:v>
      </x:c>
      <x:c r="D482" s="31" t="str">
        <x:v>Pax Soar</x:v>
      </x:c>
      <x:c r="E482" s="31" t="str">
        <x:v>introduced_update</x:v>
      </x:c>
      <x:c r="F482" s="62" t="str">
        <x:v>24.0</x:v>
      </x:c>
      <x:c r="G482" s="62" t="str">
        <x:v>Update 24.0</x:v>
      </x:c>
      <x:c r="H482" s="62" t="str"/>
      <x:c r="I482" s="62" t="str">
        <x:v>NOT_REVIEWED</x:v>
      </x:c>
      <x:c r="J482" s="62" t="str"/>
    </x:row>
    <x:row r="483">
      <x:c r="A483" s="31" t="str">
        <x:v>ARC-0133</x:v>
      </x:c>
      <x:c r="B483" s="31" t="str">
        <x:v>P2</x:v>
      </x:c>
      <x:c r="C483" s="31" t="str">
        <x:v>Pax Soar</x:v>
      </x:c>
      <x:c r="D483" s="31" t="str">
        <x:v>Pax Soar</x:v>
      </x:c>
      <x:c r="E483" s="31" t="str">
        <x:v>effect_text</x:v>
      </x:c>
      <x:c r="F483" s="62" t="str">
        <x:v>+60% Kitgun Damage while aim-gliding</x:v>
      </x:c>
      <x:c r="G483" s="62" t="str">
        <x:v>+50% Accuracy while Airborne
-50% Weapon Recoil while Airborne
+5s Aim Glide/Wall Latch Duration</x:v>
      </x:c>
      <x:c r="H483" s="62" t="str">
        <x:v>comparison=HEURISTIC_TEXT_ONLY</x:v>
      </x:c>
      <x:c r="I483" s="62" t="str">
        <x:v>NOT_REVIEWED</x:v>
      </x:c>
      <x:c r="J483" s="62" t="str"/>
    </x:row>
    <x:row r="484">
      <x:c r="A484" s="31" t="str">
        <x:v>ARC-0134</x:v>
      </x:c>
      <x:c r="B484" s="31" t="str">
        <x:v>P2</x:v>
      </x:c>
      <x:c r="C484" s="31" t="str">
        <x:v>Primary Blight</x:v>
      </x:c>
      <x:c r="D484" s="31" t="str">
        <x:v>Primary Blight</x:v>
      </x:c>
      <x:c r="E484" s="31" t="str">
        <x:v>unique_name</x:v>
      </x:c>
      <x:c r="F484" s="62" t="str"/>
      <x:c r="G484" s="62" t="str">
        <x:v>/Lotus/Upgrades/CosmeticEnhancers/Offensive/PrimaryHeadshotCritMultOnHeadshot</x:v>
      </x:c>
      <x:c r="H484" s="62" t="str">
        <x:v>reason=MISSING_OR_DIFFERENT_STABLE_ID</x:v>
      </x:c>
      <x:c r="I484" s="62" t="str">
        <x:v>NOT_REVIEWED</x:v>
      </x:c>
      <x:c r="J484" s="62" t="str"/>
    </x:row>
    <x:row r="485">
      <x:c r="A485" s="31" t="str">
        <x:v>ARC-0134</x:v>
      </x:c>
      <x:c r="B485" s="31" t="str">
        <x:v>P2</x:v>
      </x:c>
      <x:c r="C485" s="31" t="str">
        <x:v>Primary Blight</x:v>
      </x:c>
      <x:c r="D485" s="31" t="str">
        <x:v>Primary Blight</x:v>
      </x:c>
      <x:c r="E485" s="31" t="str">
        <x:v>equipment_type</x:v>
      </x:c>
      <x:c r="F485" s="62" t="str"/>
      <x:c r="G485" s="62" t="str">
        <x:v>Primary Arcane</x:v>
      </x:c>
      <x:c r="H485" s="62" t="str">
        <x:v>legacy_subcategory=Steel Path; reason=EQUIPMENT_COMPATIBILITY_IS_SEPARATE_FROM_LEGACY_SUBCATEGORY</x:v>
      </x:c>
      <x:c r="I485" s="62" t="str">
        <x:v>NOT_REVIEWED</x:v>
      </x:c>
      <x:c r="J485" s="62" t="str"/>
    </x:row>
    <x:row r="486">
      <x:c r="A486" s="31" t="str">
        <x:v>ARC-0134</x:v>
      </x:c>
      <x:c r="B486" s="31" t="str">
        <x:v>P2</x:v>
      </x:c>
      <x:c r="C486" s="31" t="str">
        <x:v>Primary Blight</x:v>
      </x:c>
      <x:c r="D486" s="31" t="str">
        <x:v>Primary Blight</x:v>
      </x:c>
      <x:c r="E486" s="31" t="str">
        <x:v>introduced_update</x:v>
      </x:c>
      <x:c r="F486" s="62" t="str">
        <x:v>30.5</x:v>
      </x:c>
      <x:c r="G486" s="62" t="str">
        <x:v>Update 33.5</x:v>
      </x:c>
      <x:c r="H486" s="62" t="str"/>
      <x:c r="I486" s="62" t="str">
        <x:v>NOT_REVIEWED</x:v>
      </x:c>
      <x:c r="J486" s="62" t="str"/>
    </x:row>
    <x:row r="487">
      <x:c r="A487" s="31" t="str">
        <x:v>ARC-0134</x:v>
      </x:c>
      <x:c r="B487" s="31" t="str">
        <x:v>P2</x:v>
      </x:c>
      <x:c r="C487" s="31" t="str">
        <x:v>Primary Blight</x:v>
      </x:c>
      <x:c r="D487" s="31" t="str">
        <x:v>Primary Blight</x:v>
      </x:c>
      <x:c r="E487" s="31" t="str">
        <x:v>effect_text</x:v>
      </x:c>
      <x:c r="F487" s="62" t="str">
        <x:v>+60% Reload Speed for 12s</x:v>
      </x:c>
      <x:c r="G487" s="62" t="str">
        <x:v>On &lt;DT_POISON_COLOR&gt;Toxin Status Effect:\n+3.6% Critical Damage and +1.8% Multishot for 12s. Stacks up to 40x.</x:v>
      </x:c>
      <x:c r="H487" s="62" t="str">
        <x:v>comparison=HEURISTIC_TEXT_ONLY</x:v>
      </x:c>
      <x:c r="I487" s="62" t="str">
        <x:v>NOT_REVIEWED</x:v>
      </x:c>
      <x:c r="J487" s="62" t="str"/>
    </x:row>
    <x:row r="488">
      <x:c r="A488" s="31" t="str">
        <x:v>ARC-0135</x:v>
      </x:c>
      <x:c r="B488" s="31" t="str">
        <x:v>P2</x:v>
      </x:c>
      <x:c r="C488" s="31" t="str">
        <x:v>Primary Bulwark</x:v>
      </x:c>
      <x:c r="D488" s="31" t="str">
        <x:v>Primary Bulwark</x:v>
      </x:c>
      <x:c r="E488" s="31" t="str">
        <x:v>unique_name</x:v>
      </x:c>
      <x:c r="F488" s="62" t="str"/>
      <x:c r="G488" s="62" t="str">
        <x:v>/Lotus/Upgrades/CosmeticEnhancers/Offensive/DamageForBonusArmour</x:v>
      </x:c>
      <x:c r="H488" s="62" t="str">
        <x:v>reason=MISSING_OR_DIFFERENT_STABLE_ID</x:v>
      </x:c>
      <x:c r="I488" s="62" t="str">
        <x:v>NOT_REVIEWED</x:v>
      </x:c>
      <x:c r="J488" s="62" t="str"/>
    </x:row>
    <x:row r="489">
      <x:c r="A489" s="31" t="str">
        <x:v>ARC-0135</x:v>
      </x:c>
      <x:c r="B489" s="31" t="str">
        <x:v>P2</x:v>
      </x:c>
      <x:c r="C489" s="31" t="str">
        <x:v>Primary Bulwark</x:v>
      </x:c>
      <x:c r="D489" s="31" t="str">
        <x:v>Primary Bulwark</x:v>
      </x:c>
      <x:c r="E489" s="31" t="str">
        <x:v>equipment_type</x:v>
      </x:c>
      <x:c r="F489" s="62" t="str"/>
      <x:c r="G489" s="62" t="str">
        <x:v>Primary Arcane</x:v>
      </x:c>
      <x:c r="H489" s="62" t="str">
        <x:v>legacy_subcategory=; reason=EQUIPMENT_COMPATIBILITY_IS_SEPARATE_FROM_LEGACY_SUBCATEGORY</x:v>
      </x:c>
      <x:c r="I489" s="62" t="str">
        <x:v>NOT_REVIEWED</x:v>
      </x:c>
      <x:c r="J489" s="62" t="str"/>
    </x:row>
    <x:row r="490">
      <x:c r="A490" s="31" t="str">
        <x:v>ARC-0135</x:v>
      </x:c>
      <x:c r="B490" s="31" t="str">
        <x:v>P2</x:v>
      </x:c>
      <x:c r="C490" s="31" t="str">
        <x:v>Primary Bulwark</x:v>
      </x:c>
      <x:c r="D490" s="31" t="str">
        <x:v>Primary Bulwark</x:v>
      </x:c>
      <x:c r="E490" s="31" t="str">
        <x:v>introduced_update</x:v>
      </x:c>
      <x:c r="F490" s="62" t="str"/>
      <x:c r="G490" s="62" t="str">
        <x:v>Update 41.0</x:v>
      </x:c>
      <x:c r="H490" s="62" t="str"/>
      <x:c r="I490" s="62" t="str">
        <x:v>NOT_REVIEWED</x:v>
      </x:c>
      <x:c r="J490" s="62" t="str"/>
    </x:row>
    <x:row r="491">
      <x:c r="A491" s="31" t="str">
        <x:v>ARC-0135</x:v>
      </x:c>
      <x:c r="B491" s="31" t="str">
        <x:v>P2</x:v>
      </x:c>
      <x:c r="C491" s="31" t="str">
        <x:v>Primary Bulwark</x:v>
      </x:c>
      <x:c r="D491" s="31" t="str">
        <x:v>Primary Bulwark</x:v>
      </x:c>
      <x:c r="E491" s="31" t="str">
        <x:v>effect_text</x:v>
      </x:c>
      <x:c r="F491" s="62" t="str"/>
      <x:c r="G491" s="62" t="str">
        <x:v>Gain +1% damage for each unit of armor past 1,000, up to a max of +500%.</x:v>
      </x:c>
      <x:c r="H491" s="62" t="str">
        <x:v>comparison=HEURISTIC_TEXT_ONLY</x:v>
      </x:c>
      <x:c r="I491" s="62" t="str">
        <x:v>NOT_REVIEWED</x:v>
      </x:c>
      <x:c r="J491" s="62" t="str"/>
    </x:row>
    <x:row r="492">
      <x:c r="A492" s="31" t="str">
        <x:v>ARC-0136</x:v>
      </x:c>
      <x:c r="B492" s="31" t="str">
        <x:v>P2</x:v>
      </x:c>
      <x:c r="C492" s="31" t="str">
        <x:v>Primary Crux</x:v>
      </x:c>
      <x:c r="D492" s="31" t="str">
        <x:v>Primary Crux</x:v>
      </x:c>
      <x:c r="E492" s="31" t="str">
        <x:v>unique_name</x:v>
      </x:c>
      <x:c r="F492" s="62" t="str"/>
      <x:c r="G492" s="62" t="str">
        <x:v>/Lotus/Upgrades/CosmeticEnhancers/Offensive/StatusAndAmmoEfficiencyOnWeakpointHit</x:v>
      </x:c>
      <x:c r="H492" s="62" t="str">
        <x:v>reason=MISSING_OR_DIFFERENT_STABLE_ID</x:v>
      </x:c>
      <x:c r="I492" s="62" t="str">
        <x:v>NOT_REVIEWED</x:v>
      </x:c>
      <x:c r="J492" s="62" t="str"/>
    </x:row>
    <x:row r="493">
      <x:c r="A493" s="31" t="str">
        <x:v>ARC-0136</x:v>
      </x:c>
      <x:c r="B493" s="31" t="str">
        <x:v>P2</x:v>
      </x:c>
      <x:c r="C493" s="31" t="str">
        <x:v>Primary Crux</x:v>
      </x:c>
      <x:c r="D493" s="31" t="str">
        <x:v>Primary Crux</x:v>
      </x:c>
      <x:c r="E493" s="31" t="str">
        <x:v>equipment_type</x:v>
      </x:c>
      <x:c r="F493" s="62" t="str"/>
      <x:c r="G493" s="62" t="str">
        <x:v>Primary Arcane</x:v>
      </x:c>
      <x:c r="H493" s="62" t="str">
        <x:v>legacy_subcategory=Steel Path; reason=EQUIPMENT_COMPATIBILITY_IS_SEPARATE_FROM_LEGACY_SUBCATEGORY</x:v>
      </x:c>
      <x:c r="I493" s="62" t="str">
        <x:v>NOT_REVIEWED</x:v>
      </x:c>
      <x:c r="J493" s="62" t="str"/>
    </x:row>
    <x:row r="494">
      <x:c r="A494" s="31" t="str">
        <x:v>ARC-0136</x:v>
      </x:c>
      <x:c r="B494" s="31" t="str">
        <x:v>P2</x:v>
      </x:c>
      <x:c r="C494" s="31" t="str">
        <x:v>Primary Crux</x:v>
      </x:c>
      <x:c r="D494" s="31" t="str">
        <x:v>Primary Crux</x:v>
      </x:c>
      <x:c r="E494" s="31" t="str">
        <x:v>introduced_update</x:v>
      </x:c>
      <x:c r="F494" s="62" t="str">
        <x:v>30.5</x:v>
      </x:c>
      <x:c r="G494" s="62" t="str">
        <x:v>Update 38.0</x:v>
      </x:c>
      <x:c r="H494" s="62" t="str"/>
      <x:c r="I494" s="62" t="str">
        <x:v>NOT_REVIEWED</x:v>
      </x:c>
      <x:c r="J494" s="62" t="str"/>
    </x:row>
    <x:row r="495">
      <x:c r="A495" s="31" t="str">
        <x:v>ARC-0136</x:v>
      </x:c>
      <x:c r="B495" s="31" t="str">
        <x:v>P2</x:v>
      </x:c>
      <x:c r="C495" s="31" t="str">
        <x:v>Primary Crux</x:v>
      </x:c>
      <x:c r="D495" s="31" t="str">
        <x:v>Primary Crux</x:v>
      </x:c>
      <x:c r="E495" s="31" t="str">
        <x:v>effect_text</x:v>
      </x:c>
      <x:c r="F495" s="62" t="str">
        <x:v>+60% Primary Critical Damage for 20s</x:v>
      </x:c>
      <x:c r="G495" s="62" t="str">
        <x:v>On Weak Point Hit: Gain +30% Status Chance and +6% Ammo Efficiency for 10s. Stacks up to 10x.</x:v>
      </x:c>
      <x:c r="H495" s="62" t="str">
        <x:v>comparison=HEURISTIC_TEXT_ONLY</x:v>
      </x:c>
      <x:c r="I495" s="62" t="str">
        <x:v>NOT_REVIEWED</x:v>
      </x:c>
      <x:c r="J495" s="62" t="str"/>
    </x:row>
    <x:row r="496">
      <x:c r="A496" s="31" t="str">
        <x:v>ARC-0137</x:v>
      </x:c>
      <x:c r="B496" s="31" t="str">
        <x:v>P2</x:v>
      </x:c>
      <x:c r="C496" s="31" t="str">
        <x:v>Primary Deadhead</x:v>
      </x:c>
      <x:c r="D496" s="31" t="str">
        <x:v>Primary Deadhead</x:v>
      </x:c>
      <x:c r="E496" s="31" t="str">
        <x:v>unique_name</x:v>
      </x:c>
      <x:c r="F496" s="62" t="str"/>
      <x:c r="G496" s="62" t="str">
        <x:v>/Lotus/Upgrades/CosmeticEnhancers/Offensive/PrimaryDamageOnNoMelee</x:v>
      </x:c>
      <x:c r="H496" s="62" t="str">
        <x:v>reason=MISSING_OR_DIFFERENT_STABLE_ID</x:v>
      </x:c>
      <x:c r="I496" s="62" t="str">
        <x:v>NOT_REVIEWED</x:v>
      </x:c>
      <x:c r="J496" s="62" t="str"/>
    </x:row>
    <x:row r="497">
      <x:c r="A497" s="31" t="str">
        <x:v>ARC-0137</x:v>
      </x:c>
      <x:c r="B497" s="31" t="str">
        <x:v>P2</x:v>
      </x:c>
      <x:c r="C497" s="31" t="str">
        <x:v>Primary Deadhead</x:v>
      </x:c>
      <x:c r="D497" s="31" t="str">
        <x:v>Primary Deadhead</x:v>
      </x:c>
      <x:c r="E497" s="31" t="str">
        <x:v>equipment_type</x:v>
      </x:c>
      <x:c r="F497" s="62" t="str"/>
      <x:c r="G497" s="62" t="str">
        <x:v>Primary Arcane</x:v>
      </x:c>
      <x:c r="H497" s="62" t="str">
        <x:v>legacy_subcategory=Steel Path; reason=EQUIPMENT_COMPATIBILITY_IS_SEPARATE_FROM_LEGACY_SUBCATEGORY</x:v>
      </x:c>
      <x:c r="I497" s="62" t="str">
        <x:v>NOT_REVIEWED</x:v>
      </x:c>
      <x:c r="J497" s="62" t="str"/>
    </x:row>
    <x:row r="498">
      <x:c r="A498" s="31" t="str">
        <x:v>ARC-0137</x:v>
      </x:c>
      <x:c r="B498" s="31" t="str">
        <x:v>P2</x:v>
      </x:c>
      <x:c r="C498" s="31" t="str">
        <x:v>Primary Deadhead</x:v>
      </x:c>
      <x:c r="D498" s="31" t="str">
        <x:v>Primary Deadhead</x:v>
      </x:c>
      <x:c r="E498" s="31" t="str">
        <x:v>introduced_update</x:v>
      </x:c>
      <x:c r="F498" s="62" t="str">
        <x:v>30.5</x:v>
      </x:c>
      <x:c r="G498" s="62" t="str">
        <x:v>Update 30.5</x:v>
      </x:c>
      <x:c r="H498" s="62" t="str"/>
      <x:c r="I498" s="62" t="str">
        <x:v>NOT_REVIEWED</x:v>
      </x:c>
      <x:c r="J498" s="62" t="str"/>
    </x:row>
    <x:row r="499">
      <x:c r="A499" s="31" t="str">
        <x:v>ARC-0137</x:v>
      </x:c>
      <x:c r="B499" s="31" t="str">
        <x:v>P2</x:v>
      </x:c>
      <x:c r="C499" s="31" t="str">
        <x:v>Primary Deadhead</x:v>
      </x:c>
      <x:c r="D499" s="31" t="str">
        <x:v>Primary Deadhead</x:v>
      </x:c>
      <x:c r="E499" s="31" t="str">
        <x:v>effect_text</x:v>
      </x:c>
      <x:c r="F499" s="62" t="str">
        <x:v>Stacking +10% Primary Damage &amp; +10% Headshot Dmg; max +60%</x:v>
      </x:c>
      <x:c r="G499" s="62" t="str">
        <x:v>On Headshot Kill:\n+120% Damage for 24s. Stacks up to 3x.\n+30% to Headshot Multiplier\n-50% Weapon Recoil
+30% to Headshot Multiplier
-50% Weapon Recoil</x:v>
      </x:c>
      <x:c r="H499" s="62" t="str">
        <x:v>comparison=HEURISTIC_TEXT_ONLY</x:v>
      </x:c>
      <x:c r="I499" s="62" t="str">
        <x:v>NOT_REVIEWED</x:v>
      </x:c>
      <x:c r="J499" s="62" t="str"/>
    </x:row>
    <x:row r="500">
      <x:c r="A500" s="31" t="str">
        <x:v>ARC-0138</x:v>
      </x:c>
      <x:c r="B500" s="31" t="str">
        <x:v>P2</x:v>
      </x:c>
      <x:c r="C500" s="31" t="str">
        <x:v>Primary Debilitate</x:v>
      </x:c>
      <x:c r="D500" s="31" t="str">
        <x:v>Primary Debilitate</x:v>
      </x:c>
      <x:c r="E500" s="31" t="str">
        <x:v>unique_name</x:v>
      </x:c>
      <x:c r="F500" s="62" t="str"/>
      <x:c r="G500" s="62" t="str">
        <x:v>/Lotus/Upgrades/CosmeticEnhancers/Offensive/SplitStatusProcsOnStackedStatusHit</x:v>
      </x:c>
      <x:c r="H500" s="62" t="str">
        <x:v>reason=MISSING_OR_DIFFERENT_STABLE_ID</x:v>
      </x:c>
      <x:c r="I500" s="62" t="str">
        <x:v>NOT_REVIEWED</x:v>
      </x:c>
      <x:c r="J500" s="62" t="str"/>
    </x:row>
    <x:row r="501">
      <x:c r="A501" s="31" t="str">
        <x:v>ARC-0138</x:v>
      </x:c>
      <x:c r="B501" s="31" t="str">
        <x:v>P2</x:v>
      </x:c>
      <x:c r="C501" s="31" t="str">
        <x:v>Primary Debilitate</x:v>
      </x:c>
      <x:c r="D501" s="31" t="str">
        <x:v>Primary Debilitate</x:v>
      </x:c>
      <x:c r="E501" s="31" t="str">
        <x:v>equipment_type</x:v>
      </x:c>
      <x:c r="F501" s="62" t="str"/>
      <x:c r="G501" s="62" t="str">
        <x:v>Primary Arcane</x:v>
      </x:c>
      <x:c r="H501" s="62" t="str">
        <x:v>legacy_subcategory=; reason=EQUIPMENT_COMPATIBILITY_IS_SEPARATE_FROM_LEGACY_SUBCATEGORY</x:v>
      </x:c>
      <x:c r="I501" s="62" t="str">
        <x:v>NOT_REVIEWED</x:v>
      </x:c>
      <x:c r="J501" s="62" t="str"/>
    </x:row>
    <x:row r="502">
      <x:c r="A502" s="31" t="str">
        <x:v>ARC-0138</x:v>
      </x:c>
      <x:c r="B502" s="31" t="str">
        <x:v>P2</x:v>
      </x:c>
      <x:c r="C502" s="31" t="str">
        <x:v>Primary Debilitate</x:v>
      </x:c>
      <x:c r="D502" s="31" t="str">
        <x:v>Primary Debilitate</x:v>
      </x:c>
      <x:c r="E502" s="31" t="str">
        <x:v>introduced_update</x:v>
      </x:c>
      <x:c r="F502" s="62" t="str"/>
      <x:c r="G502" s="62" t="str">
        <x:v>Update 41.0</x:v>
      </x:c>
      <x:c r="H502" s="62" t="str"/>
      <x:c r="I502" s="62" t="str">
        <x:v>NOT_REVIEWED</x:v>
      </x:c>
      <x:c r="J502" s="62" t="str"/>
    </x:row>
    <x:row r="503">
      <x:c r="A503" s="31" t="str">
        <x:v>ARC-0138</x:v>
      </x:c>
      <x:c r="B503" s="31" t="str">
        <x:v>P2</x:v>
      </x:c>
      <x:c r="C503" s="31" t="str">
        <x:v>Primary Debilitate</x:v>
      </x:c>
      <x:c r="D503" s="31" t="str">
        <x:v>Primary Debilitate</x:v>
      </x:c>
      <x:c r="E503" s="31" t="str">
        <x:v>effect_text</x:v>
      </x:c>
      <x:c r="F503" s="62" t="str"/>
      <x:c r="G503" s="62" t="str">
        <x:v>If an enemy has 10 stacks of a combined Status Effect, inflicting the same Status Effect again has a 100% chance to inflict one of the base Status Effects it is composed of.</x:v>
      </x:c>
      <x:c r="H503" s="62" t="str">
        <x:v>comparison=HEURISTIC_TEXT_ONLY</x:v>
      </x:c>
      <x:c r="I503" s="62" t="str">
        <x:v>NOT_REVIEWED</x:v>
      </x:c>
      <x:c r="J503" s="62" t="str"/>
    </x:row>
    <x:row r="504">
      <x:c r="A504" s="31" t="str">
        <x:v>ARC-0139</x:v>
      </x:c>
      <x:c r="B504" s="31" t="str">
        <x:v>P2</x:v>
      </x:c>
      <x:c r="C504" s="31" t="str">
        <x:v>Primary Dexterity</x:v>
      </x:c>
      <x:c r="D504" s="31" t="str">
        <x:v>Primary Dexterity</x:v>
      </x:c>
      <x:c r="E504" s="31" t="str">
        <x:v>unique_name</x:v>
      </x:c>
      <x:c r="F504" s="62" t="str"/>
      <x:c r="G504" s="62" t="str">
        <x:v>/Lotus/Upgrades/CosmeticEnhancers/Offensive/PrimaryDamageOnMeleeKill</x:v>
      </x:c>
      <x:c r="H504" s="62" t="str">
        <x:v>reason=MISSING_OR_DIFFERENT_STABLE_ID</x:v>
      </x:c>
      <x:c r="I504" s="62" t="str">
        <x:v>NOT_REVIEWED</x:v>
      </x:c>
      <x:c r="J504" s="62" t="str"/>
    </x:row>
    <x:row r="505">
      <x:c r="A505" s="31" t="str">
        <x:v>ARC-0139</x:v>
      </x:c>
      <x:c r="B505" s="31" t="str">
        <x:v>P2</x:v>
      </x:c>
      <x:c r="C505" s="31" t="str">
        <x:v>Primary Dexterity</x:v>
      </x:c>
      <x:c r="D505" s="31" t="str">
        <x:v>Primary Dexterity</x:v>
      </x:c>
      <x:c r="E505" s="31" t="str">
        <x:v>equipment_type</x:v>
      </x:c>
      <x:c r="F505" s="62" t="str"/>
      <x:c r="G505" s="62" t="str">
        <x:v>Primary Arcane</x:v>
      </x:c>
      <x:c r="H505" s="62" t="str">
        <x:v>legacy_subcategory=Steel Path; reason=EQUIPMENT_COMPATIBILITY_IS_SEPARATE_FROM_LEGACY_SUBCATEGORY</x:v>
      </x:c>
      <x:c r="I505" s="62" t="str">
        <x:v>NOT_REVIEWED</x:v>
      </x:c>
      <x:c r="J505" s="62" t="str"/>
    </x:row>
    <x:row r="506">
      <x:c r="A506" s="31" t="str">
        <x:v>ARC-0139</x:v>
      </x:c>
      <x:c r="B506" s="31" t="str">
        <x:v>P2</x:v>
      </x:c>
      <x:c r="C506" s="31" t="str">
        <x:v>Primary Dexterity</x:v>
      </x:c>
      <x:c r="D506" s="31" t="str">
        <x:v>Primary Dexterity</x:v>
      </x:c>
      <x:c r="E506" s="31" t="str">
        <x:v>introduced_update</x:v>
      </x:c>
      <x:c r="F506" s="62" t="str">
        <x:v>30.5</x:v>
      </x:c>
      <x:c r="G506" s="62" t="str">
        <x:v>Update 30.5</x:v>
      </x:c>
      <x:c r="H506" s="62" t="str"/>
      <x:c r="I506" s="62" t="str">
        <x:v>NOT_REVIEWED</x:v>
      </x:c>
      <x:c r="J506" s="62" t="str"/>
    </x:row>
    <x:row r="507">
      <x:c r="A507" s="31" t="str">
        <x:v>ARC-0139</x:v>
      </x:c>
      <x:c r="B507" s="31" t="str">
        <x:v>P2</x:v>
      </x:c>
      <x:c r="C507" s="31" t="str">
        <x:v>Primary Dexterity</x:v>
      </x:c>
      <x:c r="D507" s="31" t="str">
        <x:v>Primary Dexterity</x:v>
      </x:c>
      <x:c r="E507" s="31" t="str">
        <x:v>effect_text</x:v>
      </x:c>
      <x:c r="F507" s="62" t="str">
        <x:v>+60% Primary Damage for 12s</x:v>
      </x:c>
      <x:c r="G507" s="62" t="str">
        <x:v>On Melee Kill:\n+60% Damage for 20s. Stacks up to 6x.\n+7.5s Combo Duration
+7.5s Combo Duration</x:v>
      </x:c>
      <x:c r="H507" s="62" t="str">
        <x:v>comparison=HEURISTIC_TEXT_ONLY</x:v>
      </x:c>
      <x:c r="I507" s="62" t="str">
        <x:v>NOT_REVIEWED</x:v>
      </x:c>
      <x:c r="J507" s="62" t="str"/>
    </x:row>
    <x:row r="508">
      <x:c r="A508" s="31" t="str">
        <x:v>ARC-0140</x:v>
      </x:c>
      <x:c r="B508" s="31" t="str">
        <x:v>P2</x:v>
      </x:c>
      <x:c r="C508" s="31" t="str">
        <x:v>Primary Exhilarate</x:v>
      </x:c>
      <x:c r="D508" s="31" t="str">
        <x:v>Primary Exhilarate</x:v>
      </x:c>
      <x:c r="E508" s="31" t="str">
        <x:v>unique_name</x:v>
      </x:c>
      <x:c r="F508" s="62" t="str"/>
      <x:c r="G508" s="62" t="str">
        <x:v>/Lotus/Upgrades/CosmeticEnhancers/Offensive/PrimaryEnergyRegenOnImpactProc</x:v>
      </x:c>
      <x:c r="H508" s="62" t="str">
        <x:v>reason=MISSING_OR_DIFFERENT_STABLE_ID</x:v>
      </x:c>
      <x:c r="I508" s="62" t="str">
        <x:v>NOT_REVIEWED</x:v>
      </x:c>
      <x:c r="J508" s="62" t="str"/>
    </x:row>
    <x:row r="509">
      <x:c r="A509" s="31" t="str">
        <x:v>ARC-0140</x:v>
      </x:c>
      <x:c r="B509" s="31" t="str">
        <x:v>P2</x:v>
      </x:c>
      <x:c r="C509" s="31" t="str">
        <x:v>Primary Exhilarate</x:v>
      </x:c>
      <x:c r="D509" s="31" t="str">
        <x:v>Primary Exhilarate</x:v>
      </x:c>
      <x:c r="E509" s="31" t="str">
        <x:v>equipment_type</x:v>
      </x:c>
      <x:c r="F509" s="62" t="str"/>
      <x:c r="G509" s="62" t="str">
        <x:v>Primary Arcane</x:v>
      </x:c>
      <x:c r="H509" s="62" t="str">
        <x:v>legacy_subcategory=Steel Path; reason=EQUIPMENT_COMPATIBILITY_IS_SEPARATE_FROM_LEGACY_SUBCATEGORY</x:v>
      </x:c>
      <x:c r="I509" s="62" t="str">
        <x:v>NOT_REVIEWED</x:v>
      </x:c>
      <x:c r="J509" s="62" t="str"/>
    </x:row>
    <x:row r="510">
      <x:c r="A510" s="31" t="str">
        <x:v>ARC-0140</x:v>
      </x:c>
      <x:c r="B510" s="31" t="str">
        <x:v>P2</x:v>
      </x:c>
      <x:c r="C510" s="31" t="str">
        <x:v>Primary Exhilarate</x:v>
      </x:c>
      <x:c r="D510" s="31" t="str">
        <x:v>Primary Exhilarate</x:v>
      </x:c>
      <x:c r="E510" s="31" t="str">
        <x:v>introduced_update</x:v>
      </x:c>
      <x:c r="F510" s="62" t="str">
        <x:v>30.5</x:v>
      </x:c>
      <x:c r="G510" s="62" t="str">
        <x:v>Update 33.0</x:v>
      </x:c>
      <x:c r="H510" s="62" t="str"/>
      <x:c r="I510" s="62" t="str">
        <x:v>NOT_REVIEWED</x:v>
      </x:c>
      <x:c r="J510" s="62" t="str"/>
    </x:row>
    <x:row r="511">
      <x:c r="A511" s="31" t="str">
        <x:v>ARC-0140</x:v>
      </x:c>
      <x:c r="B511" s="31" t="str">
        <x:v>P2</x:v>
      </x:c>
      <x:c r="C511" s="31" t="str">
        <x:v>Primary Exhilarate</x:v>
      </x:c>
      <x:c r="D511" s="31" t="str">
        <x:v>Primary Exhilarate</x:v>
      </x:c>
      <x:c r="E511" s="31" t="str">
        <x:v>effect_text</x:v>
      </x:c>
      <x:c r="F511" s="62" t="str">
        <x:v>Primary grants Energy; chance for extra</x:v>
      </x:c>
      <x:c r="G511" s="62" t="str">
        <x:v>On Weapon &lt;DT_IMPACT_COLOR&gt;Impact Status Effect:\n+1.2 Energy Regen/s for 10s. Stacks up to 3x.</x:v>
      </x:c>
      <x:c r="H511" s="62" t="str">
        <x:v>comparison=HEURISTIC_TEXT_ONLY</x:v>
      </x:c>
      <x:c r="I511" s="62" t="str">
        <x:v>NOT_REVIEWED</x:v>
      </x:c>
      <x:c r="J511" s="62" t="str"/>
    </x:row>
    <x:row r="512">
      <x:c r="A512" s="31" t="str">
        <x:v>ARC-0141</x:v>
      </x:c>
      <x:c r="B512" s="31" t="str">
        <x:v>P2</x:v>
      </x:c>
      <x:c r="C512" s="31" t="str">
        <x:v>Primary Frostbite</x:v>
      </x:c>
      <x:c r="D512" s="31" t="str">
        <x:v>Primary Frostbite</x:v>
      </x:c>
      <x:c r="E512" s="31" t="str">
        <x:v>unique_name</x:v>
      </x:c>
      <x:c r="F512" s="62" t="str"/>
      <x:c r="G512" s="62" t="str">
        <x:v>/Lotus/Upgrades/CosmeticEnhancers/Offensive/PrimaryCritDmgAndMultishotOnColdProc</x:v>
      </x:c>
      <x:c r="H512" s="62" t="str">
        <x:v>reason=MISSING_OR_DIFFERENT_STABLE_ID</x:v>
      </x:c>
      <x:c r="I512" s="62" t="str">
        <x:v>NOT_REVIEWED</x:v>
      </x:c>
      <x:c r="J512" s="62" t="str"/>
    </x:row>
    <x:row r="513">
      <x:c r="A513" s="31" t="str">
        <x:v>ARC-0141</x:v>
      </x:c>
      <x:c r="B513" s="31" t="str">
        <x:v>P2</x:v>
      </x:c>
      <x:c r="C513" s="31" t="str">
        <x:v>Primary Frostbite</x:v>
      </x:c>
      <x:c r="D513" s="31" t="str">
        <x:v>Primary Frostbite</x:v>
      </x:c>
      <x:c r="E513" s="31" t="str">
        <x:v>equipment_type</x:v>
      </x:c>
      <x:c r="F513" s="62" t="str"/>
      <x:c r="G513" s="62" t="str">
        <x:v>Primary Arcane</x:v>
      </x:c>
      <x:c r="H513" s="62" t="str">
        <x:v>legacy_subcategory=Steel Path; reason=EQUIPMENT_COMPATIBILITY_IS_SEPARATE_FROM_LEGACY_SUBCATEGORY</x:v>
      </x:c>
      <x:c r="I513" s="62" t="str">
        <x:v>NOT_REVIEWED</x:v>
      </x:c>
      <x:c r="J513" s="62" t="str"/>
    </x:row>
    <x:row r="514">
      <x:c r="A514" s="31" t="str">
        <x:v>ARC-0141</x:v>
      </x:c>
      <x:c r="B514" s="31" t="str">
        <x:v>P2</x:v>
      </x:c>
      <x:c r="C514" s="31" t="str">
        <x:v>Primary Frostbite</x:v>
      </x:c>
      <x:c r="D514" s="31" t="str">
        <x:v>Primary Frostbite</x:v>
      </x:c>
      <x:c r="E514" s="31" t="str">
        <x:v>introduced_update</x:v>
      </x:c>
      <x:c r="F514" s="62" t="str">
        <x:v>30.5</x:v>
      </x:c>
      <x:c r="G514" s="62" t="str">
        <x:v>Update 32.2</x:v>
      </x:c>
      <x:c r="H514" s="62" t="str"/>
      <x:c r="I514" s="62" t="str">
        <x:v>NOT_REVIEWED</x:v>
      </x:c>
      <x:c r="J514" s="62" t="str"/>
    </x:row>
    <x:row r="515">
      <x:c r="A515" s="31" t="str">
        <x:v>ARC-0141</x:v>
      </x:c>
      <x:c r="B515" s="31" t="str">
        <x:v>P2</x:v>
      </x:c>
      <x:c r="C515" s="31" t="str">
        <x:v>Primary Frostbite</x:v>
      </x:c>
      <x:c r="D515" s="31" t="str">
        <x:v>Primary Frostbite</x:v>
      </x:c>
      <x:c r="E515" s="31" t="str">
        <x:v>effect_text</x:v>
      </x:c>
      <x:c r="F515" s="62" t="str">
        <x:v>+60% Primary Crit Chance for 12s</x:v>
      </x:c>
      <x:c r="G515" s="62" t="str">
        <x:v>On &lt;DT_FREEZE_COLOR&gt;Cold Status Effect:\n+3% Critical Damage and +2.25% Multishot for 12s. Stacks up to 40x.</x:v>
      </x:c>
      <x:c r="H515" s="62" t="str">
        <x:v>comparison=HEURISTIC_TEXT_ONLY</x:v>
      </x:c>
      <x:c r="I515" s="62" t="str">
        <x:v>NOT_REVIEWED</x:v>
      </x:c>
      <x:c r="J515" s="62" t="str"/>
    </x:row>
    <x:row r="516">
      <x:c r="A516" s="31" t="str">
        <x:v>ARC-0142</x:v>
      </x:c>
      <x:c r="B516" s="31" t="str">
        <x:v>P2</x:v>
      </x:c>
      <x:c r="C516" s="31" t="str">
        <x:v>Primary Merciless</x:v>
      </x:c>
      <x:c r="D516" s="31" t="str">
        <x:v>Primary Merciless</x:v>
      </x:c>
      <x:c r="E516" s="31" t="str">
        <x:v>unique_name</x:v>
      </x:c>
      <x:c r="F516" s="62" t="str"/>
      <x:c r="G516" s="62" t="str">
        <x:v>/Lotus/Upgrades/CosmeticEnhancers/Offensive/PrimaryDamageOnKill</x:v>
      </x:c>
      <x:c r="H516" s="62" t="str">
        <x:v>reason=MISSING_OR_DIFFERENT_STABLE_ID</x:v>
      </x:c>
      <x:c r="I516" s="62" t="str">
        <x:v>NOT_REVIEWED</x:v>
      </x:c>
      <x:c r="J516" s="62" t="str"/>
    </x:row>
    <x:row r="517">
      <x:c r="A517" s="31" t="str">
        <x:v>ARC-0142</x:v>
      </x:c>
      <x:c r="B517" s="31" t="str">
        <x:v>P2</x:v>
      </x:c>
      <x:c r="C517" s="31" t="str">
        <x:v>Primary Merciless</x:v>
      </x:c>
      <x:c r="D517" s="31" t="str">
        <x:v>Primary Merciless</x:v>
      </x:c>
      <x:c r="E517" s="31" t="str">
        <x:v>equipment_type</x:v>
      </x:c>
      <x:c r="F517" s="62" t="str"/>
      <x:c r="G517" s="62" t="str">
        <x:v>Primary Arcane</x:v>
      </x:c>
      <x:c r="H517" s="62" t="str">
        <x:v>legacy_subcategory=Steel Path; reason=EQUIPMENT_COMPATIBILITY_IS_SEPARATE_FROM_LEGACY_SUBCATEGORY</x:v>
      </x:c>
      <x:c r="I517" s="62" t="str">
        <x:v>NOT_REVIEWED</x:v>
      </x:c>
      <x:c r="J517" s="62" t="str"/>
    </x:row>
    <x:row r="518">
      <x:c r="A518" s="31" t="str">
        <x:v>ARC-0142</x:v>
      </x:c>
      <x:c r="B518" s="31" t="str">
        <x:v>P2</x:v>
      </x:c>
      <x:c r="C518" s="31" t="str">
        <x:v>Primary Merciless</x:v>
      </x:c>
      <x:c r="D518" s="31" t="str">
        <x:v>Primary Merciless</x:v>
      </x:c>
      <x:c r="E518" s="31" t="str">
        <x:v>introduced_update</x:v>
      </x:c>
      <x:c r="F518" s="62" t="str">
        <x:v>30.5</x:v>
      </x:c>
      <x:c r="G518" s="62" t="str">
        <x:v>Update 30.5</x:v>
      </x:c>
      <x:c r="H518" s="62" t="str"/>
      <x:c r="I518" s="62" t="str">
        <x:v>NOT_REVIEWED</x:v>
      </x:c>
      <x:c r="J518" s="62" t="str"/>
    </x:row>
    <x:row r="519">
      <x:c r="A519" s="31" t="str">
        <x:v>ARC-0142</x:v>
      </x:c>
      <x:c r="B519" s="31" t="str">
        <x:v>P2</x:v>
      </x:c>
      <x:c r="C519" s="31" t="str">
        <x:v>Primary Merciless</x:v>
      </x:c>
      <x:c r="D519" s="31" t="str">
        <x:v>Primary Merciless</x:v>
      </x:c>
      <x:c r="E519" s="31" t="str">
        <x:v>effect_text</x:v>
      </x:c>
      <x:c r="F519" s="62" t="str">
        <x:v>Stacking +30% Primary Damage; max +150% for 20s</x:v>
      </x:c>
      <x:c r="G519" s="62" t="str">
        <x:v>On Kill:\n+30% Damage for 4s. Stacks up to 12x.\n+30% Reload Speed
+30% Reload Speed</x:v>
      </x:c>
      <x:c r="H519" s="62" t="str">
        <x:v>comparison=HEURISTIC_TEXT_ONLY</x:v>
      </x:c>
      <x:c r="I519" s="62" t="str">
        <x:v>NOT_REVIEWED</x:v>
      </x:c>
      <x:c r="J519" s="62" t="str"/>
    </x:row>
    <x:row r="520">
      <x:c r="A520" s="31" t="str">
        <x:v>ARC-0143</x:v>
      </x:c>
      <x:c r="B520" s="31" t="str">
        <x:v>P2</x:v>
      </x:c>
      <x:c r="C520" s="31" t="str">
        <x:v>Primary Obstruct</x:v>
      </x:c>
      <x:c r="D520" s="31" t="str">
        <x:v>Primary Obstruct</x:v>
      </x:c>
      <x:c r="E520" s="31" t="str">
        <x:v>unique_name</x:v>
      </x:c>
      <x:c r="F520" s="62" t="str"/>
      <x:c r="G520" s="62" t="str">
        <x:v>/Lotus/Upgrades/CosmeticEnhancers/Offensive/PrimaryJamEnemyWeaponsOnMagneticProc</x:v>
      </x:c>
      <x:c r="H520" s="62" t="str">
        <x:v>reason=MISSING_OR_DIFFERENT_STABLE_ID</x:v>
      </x:c>
      <x:c r="I520" s="62" t="str">
        <x:v>NOT_REVIEWED</x:v>
      </x:c>
      <x:c r="J520" s="62" t="str"/>
    </x:row>
    <x:row r="521">
      <x:c r="A521" s="31" t="str">
        <x:v>ARC-0143</x:v>
      </x:c>
      <x:c r="B521" s="31" t="str">
        <x:v>P2</x:v>
      </x:c>
      <x:c r="C521" s="31" t="str">
        <x:v>Primary Obstruct</x:v>
      </x:c>
      <x:c r="D521" s="31" t="str">
        <x:v>Primary Obstruct</x:v>
      </x:c>
      <x:c r="E521" s="31" t="str">
        <x:v>equipment_type</x:v>
      </x:c>
      <x:c r="F521" s="62" t="str"/>
      <x:c r="G521" s="62" t="str">
        <x:v>Primary Arcane</x:v>
      </x:c>
      <x:c r="H521" s="62" t="str">
        <x:v>legacy_subcategory=Steel Path; reason=EQUIPMENT_COMPATIBILITY_IS_SEPARATE_FROM_LEGACY_SUBCATEGORY</x:v>
      </x:c>
      <x:c r="I521" s="62" t="str">
        <x:v>NOT_REVIEWED</x:v>
      </x:c>
      <x:c r="J521" s="62" t="str"/>
    </x:row>
    <x:row r="522">
      <x:c r="A522" s="31" t="str">
        <x:v>ARC-0143</x:v>
      </x:c>
      <x:c r="B522" s="31" t="str">
        <x:v>P2</x:v>
      </x:c>
      <x:c r="C522" s="31" t="str">
        <x:v>Primary Obstruct</x:v>
      </x:c>
      <x:c r="D522" s="31" t="str">
        <x:v>Primary Obstruct</x:v>
      </x:c>
      <x:c r="E522" s="31" t="str">
        <x:v>introduced_update</x:v>
      </x:c>
      <x:c r="F522" s="62" t="str">
        <x:v>30.5</x:v>
      </x:c>
      <x:c r="G522" s="62" t="str">
        <x:v>Update 33.0</x:v>
      </x:c>
      <x:c r="H522" s="62" t="str"/>
      <x:c r="I522" s="62" t="str">
        <x:v>NOT_REVIEWED</x:v>
      </x:c>
      <x:c r="J522" s="62" t="str"/>
    </x:row>
    <x:row r="523">
      <x:c r="A523" s="31" t="str">
        <x:v>ARC-0143</x:v>
      </x:c>
      <x:c r="B523" s="31" t="str">
        <x:v>P2</x:v>
      </x:c>
      <x:c r="C523" s="31" t="str">
        <x:v>Primary Obstruct</x:v>
      </x:c>
      <x:c r="D523" s="31" t="str">
        <x:v>Primary Obstruct</x:v>
      </x:c>
      <x:c r="E523" s="31" t="str">
        <x:v>effect_text</x:v>
      </x:c>
      <x:c r="F523" s="62" t="str">
        <x:v>60% chance to create a Null-Star on reload</x:v>
      </x:c>
      <x:c r="G523" s="62" t="str">
        <x:v>On Weapon &lt;DT_MAGNETIC_COLOR&gt;Magnetic Status Effect: Enemy weapons jam within 15m of target. Cooldown 10s.</x:v>
      </x:c>
      <x:c r="H523" s="62" t="str">
        <x:v>comparison=HEURISTIC_TEXT_ONLY</x:v>
      </x:c>
      <x:c r="I523" s="62" t="str">
        <x:v>NOT_REVIEWED</x:v>
      </x:c>
      <x:c r="J523" s="62" t="str"/>
    </x:row>
    <x:row r="524">
      <x:c r="A524" s="31" t="str">
        <x:v>ARC-0144</x:v>
      </x:c>
      <x:c r="B524" s="31" t="str">
        <x:v>P2</x:v>
      </x:c>
      <x:c r="C524" s="31" t="str">
        <x:v>Primary Overcharge</x:v>
      </x:c>
      <x:c r="D524" s="31" t="str">
        <x:v>Primary Overcharge</x:v>
      </x:c>
      <x:c r="E524" s="31" t="str">
        <x:v>unique_name</x:v>
      </x:c>
      <x:c r="F524" s="62" t="str"/>
      <x:c r="G524" s="62" t="str">
        <x:v>/Lotus/Upgrades/CosmeticEnhancers/Offensive/MultishotForMaxEnergy</x:v>
      </x:c>
      <x:c r="H524" s="62" t="str">
        <x:v>reason=MISSING_OR_DIFFERENT_STABLE_ID</x:v>
      </x:c>
      <x:c r="I524" s="62" t="str">
        <x:v>NOT_REVIEWED</x:v>
      </x:c>
      <x:c r="J524" s="62" t="str"/>
    </x:row>
    <x:row r="525">
      <x:c r="A525" s="31" t="str">
        <x:v>ARC-0144</x:v>
      </x:c>
      <x:c r="B525" s="31" t="str">
        <x:v>P2</x:v>
      </x:c>
      <x:c r="C525" s="31" t="str">
        <x:v>Primary Overcharge</x:v>
      </x:c>
      <x:c r="D525" s="31" t="str">
        <x:v>Primary Overcharge</x:v>
      </x:c>
      <x:c r="E525" s="31" t="str">
        <x:v>equipment_type</x:v>
      </x:c>
      <x:c r="F525" s="62" t="str"/>
      <x:c r="G525" s="62" t="str">
        <x:v>Primary Arcane</x:v>
      </x:c>
      <x:c r="H525" s="62" t="str">
        <x:v>legacy_subcategory=; reason=EQUIPMENT_COMPATIBILITY_IS_SEPARATE_FROM_LEGACY_SUBCATEGORY</x:v>
      </x:c>
      <x:c r="I525" s="62" t="str">
        <x:v>NOT_REVIEWED</x:v>
      </x:c>
      <x:c r="J525" s="62" t="str"/>
    </x:row>
    <x:row r="526">
      <x:c r="A526" s="31" t="str">
        <x:v>ARC-0144</x:v>
      </x:c>
      <x:c r="B526" s="31" t="str">
        <x:v>P2</x:v>
      </x:c>
      <x:c r="C526" s="31" t="str">
        <x:v>Primary Overcharge</x:v>
      </x:c>
      <x:c r="D526" s="31" t="str">
        <x:v>Primary Overcharge</x:v>
      </x:c>
      <x:c r="E526" s="31" t="str">
        <x:v>introduced_update</x:v>
      </x:c>
      <x:c r="F526" s="62" t="str"/>
      <x:c r="G526" s="62" t="str">
        <x:v>Update 41.0</x:v>
      </x:c>
      <x:c r="H526" s="62" t="str"/>
      <x:c r="I526" s="62" t="str">
        <x:v>NOT_REVIEWED</x:v>
      </x:c>
      <x:c r="J526" s="62" t="str"/>
    </x:row>
    <x:row r="527">
      <x:c r="A527" s="31" t="str">
        <x:v>ARC-0144</x:v>
      </x:c>
      <x:c r="B527" s="31" t="str">
        <x:v>P2</x:v>
      </x:c>
      <x:c r="C527" s="31" t="str">
        <x:v>Primary Overcharge</x:v>
      </x:c>
      <x:c r="D527" s="31" t="str">
        <x:v>Primary Overcharge</x:v>
      </x:c>
      <x:c r="E527" s="31" t="str">
        <x:v>effect_text</x:v>
      </x:c>
      <x:c r="F527" s="62" t="str"/>
      <x:c r="G527" s="62" t="str">
        <x:v>While at or above 90% Energy: Gain 35% of Max Energy as Multishot, capped at 350%.</x:v>
      </x:c>
      <x:c r="H527" s="62" t="str">
        <x:v>comparison=HEURISTIC_TEXT_ONLY</x:v>
      </x:c>
      <x:c r="I527" s="62" t="str">
        <x:v>NOT_REVIEWED</x:v>
      </x:c>
      <x:c r="J527" s="62" t="str"/>
    </x:row>
    <x:row r="528">
      <x:c r="A528" s="31" t="str">
        <x:v>ARC-0145</x:v>
      </x:c>
      <x:c r="B528" s="31" t="str">
        <x:v>P2</x:v>
      </x:c>
      <x:c r="C528" s="31" t="str">
        <x:v>Primary Plated Round</x:v>
      </x:c>
      <x:c r="D528" s="31" t="str">
        <x:v>Primary Plated Round</x:v>
      </x:c>
      <x:c r="E528" s="31" t="str">
        <x:v>unique_name</x:v>
      </x:c>
      <x:c r="F528" s="62" t="str"/>
      <x:c r="G528" s="62" t="str">
        <x:v>/Lotus/Upgrades/CosmeticEnhancers/Offensive/PrimaryDamagePerAmmoOnReload</x:v>
      </x:c>
      <x:c r="H528" s="62" t="str">
        <x:v>reason=MISSING_OR_DIFFERENT_STABLE_ID</x:v>
      </x:c>
      <x:c r="I528" s="62" t="str">
        <x:v>NOT_REVIEWED</x:v>
      </x:c>
      <x:c r="J528" s="62" t="str"/>
    </x:row>
    <x:row r="529">
      <x:c r="A529" s="31" t="str">
        <x:v>ARC-0145</x:v>
      </x:c>
      <x:c r="B529" s="31" t="str">
        <x:v>P2</x:v>
      </x:c>
      <x:c r="C529" s="31" t="str">
        <x:v>Primary Plated Round</x:v>
      </x:c>
      <x:c r="D529" s="31" t="str">
        <x:v>Primary Plated Round</x:v>
      </x:c>
      <x:c r="E529" s="31" t="str">
        <x:v>equipment_type</x:v>
      </x:c>
      <x:c r="F529" s="62" t="str"/>
      <x:c r="G529" s="62" t="str">
        <x:v>Primary Arcane</x:v>
      </x:c>
      <x:c r="H529" s="62" t="str">
        <x:v>legacy_subcategory=Steel Path; reason=EQUIPMENT_COMPATIBILITY_IS_SEPARATE_FROM_LEGACY_SUBCATEGORY</x:v>
      </x:c>
      <x:c r="I529" s="62" t="str">
        <x:v>NOT_REVIEWED</x:v>
      </x:c>
      <x:c r="J529" s="62" t="str"/>
    </x:row>
    <x:row r="530">
      <x:c r="A530" s="31" t="str">
        <x:v>ARC-0145</x:v>
      </x:c>
      <x:c r="B530" s="31" t="str">
        <x:v>P2</x:v>
      </x:c>
      <x:c r="C530" s="31" t="str">
        <x:v>Primary Plated Round</x:v>
      </x:c>
      <x:c r="D530" s="31" t="str">
        <x:v>Primary Plated Round</x:v>
      </x:c>
      <x:c r="E530" s="31" t="str">
        <x:v>introduced_update</x:v>
      </x:c>
      <x:c r="F530" s="62" t="str">
        <x:v>30.5</x:v>
      </x:c>
      <x:c r="G530" s="62" t="str">
        <x:v>Update 32.3</x:v>
      </x:c>
      <x:c r="H530" s="62" t="str"/>
      <x:c r="I530" s="62" t="str">
        <x:v>NOT_REVIEWED</x:v>
      </x:c>
      <x:c r="J530" s="62" t="str"/>
    </x:row>
    <x:row r="531">
      <x:c r="A531" s="31" t="str">
        <x:v>ARC-0145</x:v>
      </x:c>
      <x:c r="B531" s="31" t="str">
        <x:v>P2</x:v>
      </x:c>
      <x:c r="C531" s="31" t="str">
        <x:v>Primary Plated Round</x:v>
      </x:c>
      <x:c r="D531" s="31" t="str">
        <x:v>Primary Plated Round</x:v>
      </x:c>
      <x:c r="E531" s="31" t="str">
        <x:v>effect_text</x:v>
      </x:c>
      <x:c r="F531" s="62" t="str">
        <x:v>+300% Primary Damage for 6s</x:v>
      </x:c>
      <x:c r="G531" s="62" t="str">
        <x:v>On Reload: Deal increased damage per round loaded based on max magazine size. Lasts for 10s.</x:v>
      </x:c>
      <x:c r="H531" s="62" t="str">
        <x:v>comparison=HEURISTIC_TEXT_ONLY</x:v>
      </x:c>
      <x:c r="I531" s="62" t="str">
        <x:v>NOT_REVIEWED</x:v>
      </x:c>
      <x:c r="J531" s="62" t="str"/>
    </x:row>
    <x:row r="532">
      <x:c r="A532" s="31" t="str">
        <x:v>ARC-0146</x:v>
      </x:c>
      <x:c r="B532" s="31" t="str">
        <x:v>P2</x:v>
      </x:c>
      <x:c r="C532" s="31" t="str">
        <x:v>Residual Boils</x:v>
      </x:c>
      <x:c r="D532" s="31" t="str">
        <x:v>Residual Boils</x:v>
      </x:c>
      <x:c r="E532" s="31" t="str">
        <x:v>unique_name</x:v>
      </x:c>
      <x:c r="F532" s="62" t="str"/>
      <x:c r="G532" s="62" t="str">
        <x:v>/Lotus/Upgrades/CosmeticEnhancers/Utility/BurningCystOnKill</x:v>
      </x:c>
      <x:c r="H532" s="62" t="str">
        <x:v>reason=MISSING_OR_DIFFERENT_STABLE_ID</x:v>
      </x:c>
      <x:c r="I532" s="62" t="str">
        <x:v>NOT_REVIEWED</x:v>
      </x:c>
      <x:c r="J532" s="62" t="str"/>
    </x:row>
    <x:row r="533">
      <x:c r="A533" s="31" t="str">
        <x:v>ARC-0146</x:v>
      </x:c>
      <x:c r="B533" s="31" t="str">
        <x:v>P2</x:v>
      </x:c>
      <x:c r="C533" s="31" t="str">
        <x:v>Residual Boils</x:v>
      </x:c>
      <x:c r="D533" s="31" t="str">
        <x:v>Residual Boils</x:v>
      </x:c>
      <x:c r="E533" s="31" t="str">
        <x:v>equipment_type</x:v>
      </x:c>
      <x:c r="F533" s="62" t="str"/>
      <x:c r="G533" s="62" t="str">
        <x:v>Kitgun Arcane</x:v>
      </x:c>
      <x:c r="H533" s="62" t="str">
        <x:v>legacy_subcategory=Residual; reason=EQUIPMENT_COMPATIBILITY_IS_SEPARATE_FROM_LEGACY_SUBCATEGORY</x:v>
      </x:c>
      <x:c r="I533" s="62" t="str">
        <x:v>NOT_REVIEWED</x:v>
      </x:c>
      <x:c r="J533" s="62" t="str"/>
    </x:row>
    <x:row r="534">
      <x:c r="A534" s="31" t="str">
        <x:v>ARC-0146</x:v>
      </x:c>
      <x:c r="B534" s="31" t="str">
        <x:v>P2</x:v>
      </x:c>
      <x:c r="C534" s="31" t="str">
        <x:v>Residual Boils</x:v>
      </x:c>
      <x:c r="D534" s="31" t="str">
        <x:v>Residual Boils</x:v>
      </x:c>
      <x:c r="E534" s="31" t="str">
        <x:v>introduced_update</x:v>
      </x:c>
      <x:c r="F534" s="62" t="str">
        <x:v>29.0</x:v>
      </x:c>
      <x:c r="G534" s="62" t="str">
        <x:v>Update 29.5</x:v>
      </x:c>
      <x:c r="H534" s="62" t="str"/>
      <x:c r="I534" s="62" t="str">
        <x:v>NOT_REVIEWED</x:v>
      </x:c>
      <x:c r="J534" s="62" t="str"/>
    </x:row>
    <x:row r="535">
      <x:c r="A535" s="31" t="str">
        <x:v>ARC-0146</x:v>
      </x:c>
      <x:c r="B535" s="31" t="str">
        <x:v>P2</x:v>
      </x:c>
      <x:c r="C535" s="31" t="str">
        <x:v>Residual Boils</x:v>
      </x:c>
      <x:c r="D535" s="31" t="str">
        <x:v>Residual Boils</x:v>
      </x:c>
      <x:c r="E535" s="31" t="str">
        <x:v>effect_text</x:v>
      </x:c>
      <x:c r="F535" s="62" t="str"/>
      <x:c r="G535" s="62" t="str">
        <x:v>On Kitgun Kill:\n20% chance to spawn volatile hives for 12s that explode when enemies approach for 80 &lt;DT_FIRE_COLOR&gt;Heat Damage in 10m. Standing in the area applies &lt;DT_FIRE_COLOR&gt;Heat Damage type to Theorem Arcanes.</x:v>
      </x:c>
      <x:c r="H535" s="62" t="str">
        <x:v>comparison=HEURISTIC_TEXT_ONLY</x:v>
      </x:c>
      <x:c r="I535" s="62" t="str">
        <x:v>NOT_REVIEWED</x:v>
      </x:c>
      <x:c r="J535" s="62" t="str"/>
    </x:row>
    <x:row r="536">
      <x:c r="A536" s="31" t="str">
        <x:v>ARC-0147</x:v>
      </x:c>
      <x:c r="B536" s="31" t="str">
        <x:v>P2</x:v>
      </x:c>
      <x:c r="C536" s="31" t="str">
        <x:v>Residual Malodor</x:v>
      </x:c>
      <x:c r="D536" s="31" t="str">
        <x:v>Residual Malodor</x:v>
      </x:c>
      <x:c r="E536" s="31" t="str">
        <x:v>unique_name</x:v>
      </x:c>
      <x:c r="F536" s="62" t="str"/>
      <x:c r="G536" s="62" t="str">
        <x:v>/Lotus/Upgrades/CosmeticEnhancers/Utility/IceMistOnKill</x:v>
      </x:c>
      <x:c r="H536" s="62" t="str">
        <x:v>reason=MISSING_OR_DIFFERENT_STABLE_ID</x:v>
      </x:c>
      <x:c r="I536" s="62" t="str">
        <x:v>NOT_REVIEWED</x:v>
      </x:c>
      <x:c r="J536" s="62" t="str"/>
    </x:row>
    <x:row r="537">
      <x:c r="A537" s="31" t="str">
        <x:v>ARC-0147</x:v>
      </x:c>
      <x:c r="B537" s="31" t="str">
        <x:v>P2</x:v>
      </x:c>
      <x:c r="C537" s="31" t="str">
        <x:v>Residual Malodor</x:v>
      </x:c>
      <x:c r="D537" s="31" t="str">
        <x:v>Residual Malodor</x:v>
      </x:c>
      <x:c r="E537" s="31" t="str">
        <x:v>equipment_type</x:v>
      </x:c>
      <x:c r="F537" s="62" t="str"/>
      <x:c r="G537" s="62" t="str">
        <x:v>Kitgun Arcane</x:v>
      </x:c>
      <x:c r="H537" s="62" t="str">
        <x:v>legacy_subcategory=Residual; reason=EQUIPMENT_COMPATIBILITY_IS_SEPARATE_FROM_LEGACY_SUBCATEGORY</x:v>
      </x:c>
      <x:c r="I537" s="62" t="str">
        <x:v>NOT_REVIEWED</x:v>
      </x:c>
      <x:c r="J537" s="62" t="str"/>
    </x:row>
    <x:row r="538">
      <x:c r="A538" s="31" t="str">
        <x:v>ARC-0147</x:v>
      </x:c>
      <x:c r="B538" s="31" t="str">
        <x:v>P2</x:v>
      </x:c>
      <x:c r="C538" s="31" t="str">
        <x:v>Residual Malodor</x:v>
      </x:c>
      <x:c r="D538" s="31" t="str">
        <x:v>Residual Malodor</x:v>
      </x:c>
      <x:c r="E538" s="31" t="str">
        <x:v>introduced_update</x:v>
      </x:c>
      <x:c r="F538" s="62" t="str">
        <x:v>29.0</x:v>
      </x:c>
      <x:c r="G538" s="62" t="str">
        <x:v>Update 29.5</x:v>
      </x:c>
      <x:c r="H538" s="62" t="str"/>
      <x:c r="I538" s="62" t="str">
        <x:v>NOT_REVIEWED</x:v>
      </x:c>
      <x:c r="J538" s="62" t="str"/>
    </x:row>
    <x:row r="539">
      <x:c r="A539" s="31" t="str">
        <x:v>ARC-0147</x:v>
      </x:c>
      <x:c r="B539" s="31" t="str">
        <x:v>P2</x:v>
      </x:c>
      <x:c r="C539" s="31" t="str">
        <x:v>Residual Malodor</x:v>
      </x:c>
      <x:c r="D539" s="31" t="str">
        <x:v>Residual Malodor</x:v>
      </x:c>
      <x:c r="E539" s="31" t="str">
        <x:v>effect_text</x:v>
      </x:c>
      <x:c r="F539" s="62" t="str"/>
      <x:c r="G539" s="62" t="str">
        <x:v>On Kitgun Kill:\n20% chance to create a frigid mist for 12s, dealing 40 &lt;DT_FREEZE_COLOR&gt;Cold Damage/s. Standing in the area applies &lt;DT_FREEZE_COLOR&gt;Cold Damage to Theorem Arcanes.</x:v>
      </x:c>
      <x:c r="H539" s="62" t="str">
        <x:v>comparison=HEURISTIC_TEXT_ONLY</x:v>
      </x:c>
      <x:c r="I539" s="62" t="str">
        <x:v>NOT_REVIEWED</x:v>
      </x:c>
      <x:c r="J539" s="62" t="str"/>
    </x:row>
    <x:row r="540">
      <x:c r="A540" s="31" t="str">
        <x:v>ARC-0148</x:v>
      </x:c>
      <x:c r="B540" s="31" t="str">
        <x:v>P2</x:v>
      </x:c>
      <x:c r="C540" s="31" t="str">
        <x:v>Residual Shock</x:v>
      </x:c>
      <x:c r="D540" s="31" t="str">
        <x:v>Residual Shock</x:v>
      </x:c>
      <x:c r="E540" s="31" t="str">
        <x:v>unique_name</x:v>
      </x:c>
      <x:c r="F540" s="62" t="str"/>
      <x:c r="G540" s="62" t="str">
        <x:v>/Lotus/Upgrades/CosmeticEnhancers/Utility/LightningStrikeOnKill</x:v>
      </x:c>
      <x:c r="H540" s="62" t="str">
        <x:v>reason=MISSING_OR_DIFFERENT_STABLE_ID</x:v>
      </x:c>
      <x:c r="I540" s="62" t="str">
        <x:v>NOT_REVIEWED</x:v>
      </x:c>
      <x:c r="J540" s="62" t="str"/>
    </x:row>
    <x:row r="541">
      <x:c r="A541" s="31" t="str">
        <x:v>ARC-0148</x:v>
      </x:c>
      <x:c r="B541" s="31" t="str">
        <x:v>P2</x:v>
      </x:c>
      <x:c r="C541" s="31" t="str">
        <x:v>Residual Shock</x:v>
      </x:c>
      <x:c r="D541" s="31" t="str">
        <x:v>Residual Shock</x:v>
      </x:c>
      <x:c r="E541" s="31" t="str">
        <x:v>equipment_type</x:v>
      </x:c>
      <x:c r="F541" s="62" t="str"/>
      <x:c r="G541" s="62" t="str">
        <x:v>Kitgun Arcane</x:v>
      </x:c>
      <x:c r="H541" s="62" t="str">
        <x:v>legacy_subcategory=Residual; reason=EQUIPMENT_COMPATIBILITY_IS_SEPARATE_FROM_LEGACY_SUBCATEGORY</x:v>
      </x:c>
      <x:c r="I541" s="62" t="str">
        <x:v>NOT_REVIEWED</x:v>
      </x:c>
      <x:c r="J541" s="62" t="str"/>
    </x:row>
    <x:row r="542">
      <x:c r="A542" s="31" t="str">
        <x:v>ARC-0148</x:v>
      </x:c>
      <x:c r="B542" s="31" t="str">
        <x:v>P2</x:v>
      </x:c>
      <x:c r="C542" s="31" t="str">
        <x:v>Residual Shock</x:v>
      </x:c>
      <x:c r="D542" s="31" t="str">
        <x:v>Residual Shock</x:v>
      </x:c>
      <x:c r="E542" s="31" t="str">
        <x:v>introduced_update</x:v>
      </x:c>
      <x:c r="F542" s="62" t="str">
        <x:v>29.0</x:v>
      </x:c>
      <x:c r="G542" s="62" t="str">
        <x:v>Update 29.5</x:v>
      </x:c>
      <x:c r="H542" s="62" t="str"/>
      <x:c r="I542" s="62" t="str">
        <x:v>NOT_REVIEWED</x:v>
      </x:c>
      <x:c r="J542" s="62" t="str"/>
    </x:row>
    <x:row r="543">
      <x:c r="A543" s="31" t="str">
        <x:v>ARC-0148</x:v>
      </x:c>
      <x:c r="B543" s="31" t="str">
        <x:v>P2</x:v>
      </x:c>
      <x:c r="C543" s="31" t="str">
        <x:v>Residual Shock</x:v>
      </x:c>
      <x:c r="D543" s="31" t="str">
        <x:v>Residual Shock</x:v>
      </x:c>
      <x:c r="E543" s="31" t="str">
        <x:v>effect_text</x:v>
      </x:c>
      <x:c r="F543" s="62" t="str"/>
      <x:c r="G543" s="62" t="str">
        <x:v>On Kitgun Kill:\n20% chance to spawn an electrified spike for 12s, dealing 200 &lt;DT_ELECTRICITY_COLOR&gt;Electricity Damage to enemies within 10m. Standing in the area applies &lt;DT_ELECTRICITY_COLOR&gt;Electricity Damage to Theorem Arcanes.</x:v>
      </x:c>
      <x:c r="H543" s="62" t="str">
        <x:v>comparison=HEURISTIC_TEXT_ONLY</x:v>
      </x:c>
      <x:c r="I543" s="62" t="str">
        <x:v>NOT_REVIEWED</x:v>
      </x:c>
      <x:c r="J543" s="62" t="str"/>
    </x:row>
    <x:row r="544">
      <x:c r="A544" s="31" t="str">
        <x:v>ARC-0149</x:v>
      </x:c>
      <x:c r="B544" s="31" t="str">
        <x:v>P2</x:v>
      </x:c>
      <x:c r="C544" s="31" t="str">
        <x:v>Residual Viremia</x:v>
      </x:c>
      <x:c r="D544" s="31" t="str">
        <x:v>Residual Viremia</x:v>
      </x:c>
      <x:c r="E544" s="31" t="str">
        <x:v>unique_name</x:v>
      </x:c>
      <x:c r="F544" s="62" t="str"/>
      <x:c r="G544" s="62" t="str">
        <x:v>/Lotus/Upgrades/CosmeticEnhancers/Utility/ToxicBloodOnKill</x:v>
      </x:c>
      <x:c r="H544" s="62" t="str">
        <x:v>reason=MISSING_OR_DIFFERENT_STABLE_ID</x:v>
      </x:c>
      <x:c r="I544" s="62" t="str">
        <x:v>NOT_REVIEWED</x:v>
      </x:c>
      <x:c r="J544" s="62" t="str"/>
    </x:row>
    <x:row r="545">
      <x:c r="A545" s="31" t="str">
        <x:v>ARC-0149</x:v>
      </x:c>
      <x:c r="B545" s="31" t="str">
        <x:v>P2</x:v>
      </x:c>
      <x:c r="C545" s="31" t="str">
        <x:v>Residual Viremia</x:v>
      </x:c>
      <x:c r="D545" s="31" t="str">
        <x:v>Residual Viremia</x:v>
      </x:c>
      <x:c r="E545" s="31" t="str">
        <x:v>equipment_type</x:v>
      </x:c>
      <x:c r="F545" s="62" t="str"/>
      <x:c r="G545" s="62" t="str">
        <x:v>Kitgun Arcane</x:v>
      </x:c>
      <x:c r="H545" s="62" t="str">
        <x:v>legacy_subcategory=Residual; reason=EQUIPMENT_COMPATIBILITY_IS_SEPARATE_FROM_LEGACY_SUBCATEGORY</x:v>
      </x:c>
      <x:c r="I545" s="62" t="str">
        <x:v>NOT_REVIEWED</x:v>
      </x:c>
      <x:c r="J545" s="62" t="str"/>
    </x:row>
    <x:row r="546">
      <x:c r="A546" s="31" t="str">
        <x:v>ARC-0149</x:v>
      </x:c>
      <x:c r="B546" s="31" t="str">
        <x:v>P2</x:v>
      </x:c>
      <x:c r="C546" s="31" t="str">
        <x:v>Residual Viremia</x:v>
      </x:c>
      <x:c r="D546" s="31" t="str">
        <x:v>Residual Viremia</x:v>
      </x:c>
      <x:c r="E546" s="31" t="str">
        <x:v>introduced_update</x:v>
      </x:c>
      <x:c r="F546" s="62" t="str">
        <x:v>29.0</x:v>
      </x:c>
      <x:c r="G546" s="62" t="str">
        <x:v>Update 29.5</x:v>
      </x:c>
      <x:c r="H546" s="62" t="str"/>
      <x:c r="I546" s="62" t="str">
        <x:v>NOT_REVIEWED</x:v>
      </x:c>
      <x:c r="J546" s="62" t="str"/>
    </x:row>
    <x:row r="547">
      <x:c r="A547" s="31" t="str">
        <x:v>ARC-0149</x:v>
      </x:c>
      <x:c r="B547" s="31" t="str">
        <x:v>P2</x:v>
      </x:c>
      <x:c r="C547" s="31" t="str">
        <x:v>Residual Viremia</x:v>
      </x:c>
      <x:c r="D547" s="31" t="str">
        <x:v>Residual Viremia</x:v>
      </x:c>
      <x:c r="E547" s="31" t="str">
        <x:v>effect_text</x:v>
      </x:c>
      <x:c r="F547" s="62" t="str"/>
      <x:c r="G547" s="62" t="str">
        <x:v>On Kitgun Kill:\n20% chance to create pool of toxic blood for 12s, dealing 40 &lt;DT_POISON_COLOR&gt;Toxin Damage/s. Standing in the area applies the &lt;DT_POISON_COLOR&gt;Toxin Damage to Theorem Arcanes.</x:v>
      </x:c>
      <x:c r="H547" s="62" t="str">
        <x:v>comparison=HEURISTIC_TEXT_ONLY</x:v>
      </x:c>
      <x:c r="I547" s="62" t="str">
        <x:v>NOT_REVIEWED</x:v>
      </x:c>
      <x:c r="J547" s="62" t="str"/>
    </x:row>
    <x:row r="548">
      <x:c r="A548" s="31" t="str">
        <x:v>ARC-0150</x:v>
      </x:c>
      <x:c r="B548" s="31" t="str">
        <x:v>P2</x:v>
      </x:c>
      <x:c r="C548" s="31" t="str">
        <x:v>Secondary Deadhead</x:v>
      </x:c>
      <x:c r="D548" s="31" t="str">
        <x:v>Secondary Deadhead</x:v>
      </x:c>
      <x:c r="E548" s="31" t="str">
        <x:v>unique_name</x:v>
      </x:c>
      <x:c r="F548" s="62" t="str"/>
      <x:c r="G548" s="62" t="str">
        <x:v>/Lotus/Upgrades/CosmeticEnhancers/Offensive/SecondaryDamageOnNoMelee</x:v>
      </x:c>
      <x:c r="H548" s="62" t="str">
        <x:v>reason=MISSING_OR_DIFFERENT_STABLE_ID</x:v>
      </x:c>
      <x:c r="I548" s="62" t="str">
        <x:v>NOT_REVIEWED</x:v>
      </x:c>
      <x:c r="J548" s="62" t="str"/>
    </x:row>
    <x:row r="549">
      <x:c r="A549" s="31" t="str">
        <x:v>ARC-0150</x:v>
      </x:c>
      <x:c r="B549" s="31" t="str">
        <x:v>P2</x:v>
      </x:c>
      <x:c r="C549" s="31" t="str">
        <x:v>Secondary Deadhead</x:v>
      </x:c>
      <x:c r="D549" s="31" t="str">
        <x:v>Secondary Deadhead</x:v>
      </x:c>
      <x:c r="E549" s="31" t="str">
        <x:v>equipment_type</x:v>
      </x:c>
      <x:c r="F549" s="62" t="str"/>
      <x:c r="G549" s="62" t="str">
        <x:v>Secondary Arcane</x:v>
      </x:c>
      <x:c r="H549" s="62" t="str">
        <x:v>legacy_subcategory=Steel Path; reason=EQUIPMENT_COMPATIBILITY_IS_SEPARATE_FROM_LEGACY_SUBCATEGORY</x:v>
      </x:c>
      <x:c r="I549" s="62" t="str">
        <x:v>NOT_REVIEWED</x:v>
      </x:c>
      <x:c r="J549" s="62" t="str"/>
    </x:row>
    <x:row r="550">
      <x:c r="A550" s="31" t="str">
        <x:v>ARC-0150</x:v>
      </x:c>
      <x:c r="B550" s="31" t="str">
        <x:v>P2</x:v>
      </x:c>
      <x:c r="C550" s="31" t="str">
        <x:v>Secondary Deadhead</x:v>
      </x:c>
      <x:c r="D550" s="31" t="str">
        <x:v>Secondary Deadhead</x:v>
      </x:c>
      <x:c r="E550" s="31" t="str">
        <x:v>introduced_update</x:v>
      </x:c>
      <x:c r="F550" s="62" t="str">
        <x:v>30.5</x:v>
      </x:c>
      <x:c r="G550" s="62" t="str">
        <x:v>Update 30.5</x:v>
      </x:c>
      <x:c r="H550" s="62" t="str"/>
      <x:c r="I550" s="62" t="str">
        <x:v>NOT_REVIEWED</x:v>
      </x:c>
      <x:c r="J550" s="62" t="str"/>
    </x:row>
    <x:row r="551">
      <x:c r="A551" s="31" t="str">
        <x:v>ARC-0150</x:v>
      </x:c>
      <x:c r="B551" s="31" t="str">
        <x:v>P2</x:v>
      </x:c>
      <x:c r="C551" s="31" t="str">
        <x:v>Secondary Deadhead</x:v>
      </x:c>
      <x:c r="D551" s="31" t="str">
        <x:v>Secondary Deadhead</x:v>
      </x:c>
      <x:c r="E551" s="31" t="str">
        <x:v>effect_text</x:v>
      </x:c>
      <x:c r="F551" s="62" t="str">
        <x:v>Stacking +10% Secondary Damage &amp; Headshot; max +60%</x:v>
      </x:c>
      <x:c r="G551" s="62" t="str">
        <x:v>On Precision Headshot Kill:\n+120% Damage for 24s. Stacks up to 3x.\n+30% to Headshot Multiplier\n-50% Weapon Recoil
+30% to Headshot Multiplier
-50% Weapon Recoil</x:v>
      </x:c>
      <x:c r="H551" s="62" t="str">
        <x:v>comparison=HEURISTIC_TEXT_ONLY</x:v>
      </x:c>
      <x:c r="I551" s="62" t="str">
        <x:v>NOT_REVIEWED</x:v>
      </x:c>
      <x:c r="J551" s="62" t="str"/>
    </x:row>
    <x:row r="552">
      <x:c r="A552" s="31" t="str">
        <x:v>ARC-0151</x:v>
      </x:c>
      <x:c r="B552" s="31" t="str">
        <x:v>P2</x:v>
      </x:c>
      <x:c r="C552" s="31" t="str">
        <x:v>Secondary Dexterity</x:v>
      </x:c>
      <x:c r="D552" s="31" t="str">
        <x:v>Secondary Dexterity</x:v>
      </x:c>
      <x:c r="E552" s="31" t="str">
        <x:v>unique_name</x:v>
      </x:c>
      <x:c r="F552" s="62" t="str"/>
      <x:c r="G552" s="62" t="str">
        <x:v>/Lotus/Upgrades/CosmeticEnhancers/Offensive/SecondaryDamageOnMeleeKill</x:v>
      </x:c>
      <x:c r="H552" s="62" t="str">
        <x:v>reason=MISSING_OR_DIFFERENT_STABLE_ID</x:v>
      </x:c>
      <x:c r="I552" s="62" t="str">
        <x:v>NOT_REVIEWED</x:v>
      </x:c>
      <x:c r="J552" s="62" t="str"/>
    </x:row>
    <x:row r="553">
      <x:c r="A553" s="31" t="str">
        <x:v>ARC-0151</x:v>
      </x:c>
      <x:c r="B553" s="31" t="str">
        <x:v>P2</x:v>
      </x:c>
      <x:c r="C553" s="31" t="str">
        <x:v>Secondary Dexterity</x:v>
      </x:c>
      <x:c r="D553" s="31" t="str">
        <x:v>Secondary Dexterity</x:v>
      </x:c>
      <x:c r="E553" s="31" t="str">
        <x:v>equipment_type</x:v>
      </x:c>
      <x:c r="F553" s="62" t="str"/>
      <x:c r="G553" s="62" t="str">
        <x:v>Secondary Arcane</x:v>
      </x:c>
      <x:c r="H553" s="62" t="str">
        <x:v>legacy_subcategory=Steel Path; reason=EQUIPMENT_COMPATIBILITY_IS_SEPARATE_FROM_LEGACY_SUBCATEGORY</x:v>
      </x:c>
      <x:c r="I553" s="62" t="str">
        <x:v>NOT_REVIEWED</x:v>
      </x:c>
      <x:c r="J553" s="62" t="str"/>
    </x:row>
    <x:row r="554">
      <x:c r="A554" s="31" t="str">
        <x:v>ARC-0151</x:v>
      </x:c>
      <x:c r="B554" s="31" t="str">
        <x:v>P2</x:v>
      </x:c>
      <x:c r="C554" s="31" t="str">
        <x:v>Secondary Dexterity</x:v>
      </x:c>
      <x:c r="D554" s="31" t="str">
        <x:v>Secondary Dexterity</x:v>
      </x:c>
      <x:c r="E554" s="31" t="str">
        <x:v>introduced_update</x:v>
      </x:c>
      <x:c r="F554" s="62" t="str">
        <x:v>30.5</x:v>
      </x:c>
      <x:c r="G554" s="62" t="str">
        <x:v>Update 30.5</x:v>
      </x:c>
      <x:c r="H554" s="62" t="str"/>
      <x:c r="I554" s="62" t="str">
        <x:v>NOT_REVIEWED</x:v>
      </x:c>
      <x:c r="J554" s="62" t="str"/>
    </x:row>
    <x:row r="555">
      <x:c r="A555" s="31" t="str">
        <x:v>ARC-0151</x:v>
      </x:c>
      <x:c r="B555" s="31" t="str">
        <x:v>P2</x:v>
      </x:c>
      <x:c r="C555" s="31" t="str">
        <x:v>Secondary Dexterity</x:v>
      </x:c>
      <x:c r="D555" s="31" t="str">
        <x:v>Secondary Dexterity</x:v>
      </x:c>
      <x:c r="E555" s="31" t="str">
        <x:v>effect_text</x:v>
      </x:c>
      <x:c r="F555" s="62" t="str">
        <x:v>+60% Secondary Damage for 12s</x:v>
      </x:c>
      <x:c r="G555" s="62" t="str">
        <x:v>On Melee Kill:\n+60% Damage for 20s. Stacks up to 6x.\n+7.5s Combo Duration
+7.5s Combo Duration</x:v>
      </x:c>
      <x:c r="H555" s="62" t="str">
        <x:v>comparison=HEURISTIC_TEXT_ONLY</x:v>
      </x:c>
      <x:c r="I555" s="62" t="str">
        <x:v>NOT_REVIEWED</x:v>
      </x:c>
      <x:c r="J555" s="62" t="str"/>
    </x:row>
    <x:row r="556">
      <x:c r="A556" s="31" t="str">
        <x:v>ARC-0152</x:v>
      </x:c>
      <x:c r="B556" s="31" t="str">
        <x:v>P0</x:v>
      </x:c>
      <x:c r="C556" s="31" t="str">
        <x:v>Secondary Encumber</x:v>
      </x:c>
      <x:c r="D556" s="31" t="str">
        <x:v>Secondary Encumber</x:v>
      </x:c>
      <x:c r="E556" s="31" t="str">
        <x:v>unique_name</x:v>
      </x:c>
      <x:c r="F556" s="62" t="str"/>
      <x:c r="G556" s="62" t="str">
        <x:v>/Lotus/Upgrades/CosmeticEnhancers/Utility/ExtraProcOnProc</x:v>
      </x:c>
      <x:c r="H556" s="62" t="str">
        <x:v>reason=MISSING_OR_DIFFERENT_STABLE_ID</x:v>
      </x:c>
      <x:c r="I556" s="62" t="str">
        <x:v>NOT_REVIEWED</x:v>
      </x:c>
      <x:c r="J556" s="62" t="str"/>
    </x:row>
    <x:row r="557">
      <x:c r="A557" s="31" t="str">
        <x:v>ARC-0152</x:v>
      </x:c>
      <x:c r="B557" s="31" t="str">
        <x:v>P0</x:v>
      </x:c>
      <x:c r="C557" s="31" t="str">
        <x:v>Secondary Encumber</x:v>
      </x:c>
      <x:c r="D557" s="31" t="str">
        <x:v>Secondary Encumber</x:v>
      </x:c>
      <x:c r="E557" s="31" t="str">
        <x:v>equipment_type</x:v>
      </x:c>
      <x:c r="F557" s="62" t="str"/>
      <x:c r="G557" s="62" t="str">
        <x:v>Secondary Arcane</x:v>
      </x:c>
      <x:c r="H557" s="62" t="str">
        <x:v>legacy_subcategory=Steel Path; reason=EQUIPMENT_COMPATIBILITY_IS_SEPARATE_FROM_LEGACY_SUBCATEGORY</x:v>
      </x:c>
      <x:c r="I557" s="62" t="str">
        <x:v>NOT_REVIEWED</x:v>
      </x:c>
      <x:c r="J557" s="62" t="str"/>
    </x:row>
    <x:row r="558">
      <x:c r="A558" s="31" t="str">
        <x:v>ARC-0152</x:v>
      </x:c>
      <x:c r="B558" s="31" t="str">
        <x:v>P0</x:v>
      </x:c>
      <x:c r="C558" s="31" t="str">
        <x:v>Secondary Encumber</x:v>
      </x:c>
      <x:c r="D558" s="31" t="str">
        <x:v>Secondary Encumber</x:v>
      </x:c>
      <x:c r="E558" s="31" t="str">
        <x:v>introduced_update</x:v>
      </x:c>
      <x:c r="F558" s="62" t="str">
        <x:v>30.5</x:v>
      </x:c>
      <x:c r="G558" s="62" t="str">
        <x:v>Update 32.3</x:v>
      </x:c>
      <x:c r="H558" s="62" t="str"/>
      <x:c r="I558" s="62" t="str">
        <x:v>NOT_REVIEWED</x:v>
      </x:c>
      <x:c r="J558" s="62" t="str"/>
    </x:row>
    <x:row r="559">
      <x:c r="A559" s="31" t="str">
        <x:v>ARC-0152</x:v>
      </x:c>
      <x:c r="B559" s="31" t="str">
        <x:v>P0</x:v>
      </x:c>
      <x:c r="C559" s="31" t="str">
        <x:v>Secondary Encumber</x:v>
      </x:c>
      <x:c r="D559" s="31" t="str">
        <x:v>Secondary Encumber</x:v>
      </x:c>
      <x:c r="E559" s="31" t="str">
        <x:v>effect_text</x:v>
      </x:c>
      <x:c r="F559" s="62" t="str">
        <x:v>60% chance: proc Magnetic on enemies nearby</x:v>
      </x:c>
      <x:c r="G559" s="62" t="str">
        <x:v>On Status Effect: +24% chance to trigger a second random Status Effect.</x:v>
      </x:c>
      <x:c r="H559" s="62" t="str">
        <x:v>comparison=HEURISTIC_TEXT_ONLY</x:v>
      </x:c>
      <x:c r="I559" s="62" t="str">
        <x:v>NOT_REVIEWED</x:v>
      </x:c>
      <x:c r="J559" s="62" t="str"/>
    </x:row>
    <x:row r="560">
      <x:c r="A560" s="31" t="str">
        <x:v>ARC-0153</x:v>
      </x:c>
      <x:c r="B560" s="31" t="str">
        <x:v>P2</x:v>
      </x:c>
      <x:c r="C560" s="31" t="str">
        <x:v>Secondary Enervate</x:v>
      </x:c>
      <x:c r="D560" s="31" t="str">
        <x:v>Secondary Enervate</x:v>
      </x:c>
      <x:c r="E560" s="31" t="str">
        <x:v>unique_name</x:v>
      </x:c>
      <x:c r="F560" s="62" t="str"/>
      <x:c r="G560" s="62" t="str">
        <x:v>/Lotus/Upgrades/CosmeticEnhancers/Offensive/SecondaryCritOnHit</x:v>
      </x:c>
      <x:c r="H560" s="62" t="str">
        <x:v>reason=MISSING_OR_DIFFERENT_STABLE_ID</x:v>
      </x:c>
      <x:c r="I560" s="62" t="str">
        <x:v>NOT_REVIEWED</x:v>
      </x:c>
      <x:c r="J560" s="62" t="str"/>
    </x:row>
    <x:row r="561">
      <x:c r="A561" s="31" t="str">
        <x:v>ARC-0153</x:v>
      </x:c>
      <x:c r="B561" s="31" t="str">
        <x:v>P2</x:v>
      </x:c>
      <x:c r="C561" s="31" t="str">
        <x:v>Secondary Enervate</x:v>
      </x:c>
      <x:c r="D561" s="31" t="str">
        <x:v>Secondary Enervate</x:v>
      </x:c>
      <x:c r="E561" s="31" t="str">
        <x:v>equipment_type</x:v>
      </x:c>
      <x:c r="F561" s="62" t="str"/>
      <x:c r="G561" s="62" t="str">
        <x:v>Secondary Arcane</x:v>
      </x:c>
      <x:c r="H561" s="62" t="str">
        <x:v>legacy_subcategory=; reason=EQUIPMENT_COMPATIBILITY_IS_SEPARATE_FROM_LEGACY_SUBCATEGORY</x:v>
      </x:c>
      <x:c r="I561" s="62" t="str">
        <x:v>NOT_REVIEWED</x:v>
      </x:c>
      <x:c r="J561" s="62" t="str"/>
    </x:row>
    <x:row r="562">
      <x:c r="A562" s="31" t="str">
        <x:v>ARC-0153</x:v>
      </x:c>
      <x:c r="B562" s="31" t="str">
        <x:v>P2</x:v>
      </x:c>
      <x:c r="C562" s="31" t="str">
        <x:v>Secondary Enervate</x:v>
      </x:c>
      <x:c r="D562" s="31" t="str">
        <x:v>Secondary Enervate</x:v>
      </x:c>
      <x:c r="E562" s="31" t="str">
        <x:v>introduced_update</x:v>
      </x:c>
      <x:c r="F562" s="62" t="str"/>
      <x:c r="G562" s="62" t="str">
        <x:v>Update 38.0</x:v>
      </x:c>
      <x:c r="H562" s="62" t="str"/>
      <x:c r="I562" s="62" t="str">
        <x:v>NOT_REVIEWED</x:v>
      </x:c>
      <x:c r="J562" s="62" t="str"/>
    </x:row>
    <x:row r="563">
      <x:c r="A563" s="31" t="str">
        <x:v>ARC-0153</x:v>
      </x:c>
      <x:c r="B563" s="31" t="str">
        <x:v>P2</x:v>
      </x:c>
      <x:c r="C563" s="31" t="str">
        <x:v>Secondary Enervate</x:v>
      </x:c>
      <x:c r="D563" s="31" t="str">
        <x:v>Secondary Enervate</x:v>
      </x:c>
      <x:c r="E563" s="31" t="str">
        <x:v>effect_text</x:v>
      </x:c>
      <x:c r="F563" s="62" t="str"/>
      <x:c r="G563" s="62" t="str">
        <x:v>On Hit: Increase Critical Chance by 10%. Resets after 6 Big Critical Hit.</x:v>
      </x:c>
      <x:c r="H563" s="62" t="str">
        <x:v>comparison=HEURISTIC_TEXT_ONLY</x:v>
      </x:c>
      <x:c r="I563" s="62" t="str">
        <x:v>NOT_REVIEWED</x:v>
      </x:c>
      <x:c r="J563" s="62" t="str"/>
    </x:row>
    <x:row r="564">
      <x:c r="A564" s="31" t="str">
        <x:v>ARC-0154</x:v>
      </x:c>
      <x:c r="B564" s="31" t="str">
        <x:v>P2</x:v>
      </x:c>
      <x:c r="C564" s="31" t="str">
        <x:v>Secondary Fortifier</x:v>
      </x:c>
      <x:c r="D564" s="31" t="str">
        <x:v>Secondary Fortifier</x:v>
      </x:c>
      <x:c r="E564" s="31" t="str">
        <x:v>unique_name</x:v>
      </x:c>
      <x:c r="F564" s="62" t="str"/>
      <x:c r="G564" s="62" t="str">
        <x:v>/Lotus/Upgrades/CosmeticEnhancers/Offensive/OverguardSteal</x:v>
      </x:c>
      <x:c r="H564" s="62" t="str">
        <x:v>reason=MISSING_OR_DIFFERENT_STABLE_ID</x:v>
      </x:c>
      <x:c r="I564" s="62" t="str">
        <x:v>NOT_REVIEWED</x:v>
      </x:c>
      <x:c r="J564" s="62" t="str"/>
    </x:row>
    <x:row r="565">
      <x:c r="A565" s="31" t="str">
        <x:v>ARC-0154</x:v>
      </x:c>
      <x:c r="B565" s="31" t="str">
        <x:v>P2</x:v>
      </x:c>
      <x:c r="C565" s="31" t="str">
        <x:v>Secondary Fortifier</x:v>
      </x:c>
      <x:c r="D565" s="31" t="str">
        <x:v>Secondary Fortifier</x:v>
      </x:c>
      <x:c r="E565" s="31" t="str">
        <x:v>equipment_type</x:v>
      </x:c>
      <x:c r="F565" s="62" t="str"/>
      <x:c r="G565" s="62" t="str">
        <x:v>Secondary Arcane</x:v>
      </x:c>
      <x:c r="H565" s="62" t="str">
        <x:v>legacy_subcategory=; reason=EQUIPMENT_COMPATIBILITY_IS_SEPARATE_FROM_LEGACY_SUBCATEGORY</x:v>
      </x:c>
      <x:c r="I565" s="62" t="str">
        <x:v>NOT_REVIEWED</x:v>
      </x:c>
      <x:c r="J565" s="62" t="str"/>
    </x:row>
    <x:row r="566">
      <x:c r="A566" s="31" t="str">
        <x:v>ARC-0154</x:v>
      </x:c>
      <x:c r="B566" s="31" t="str">
        <x:v>P2</x:v>
      </x:c>
      <x:c r="C566" s="31" t="str">
        <x:v>Secondary Fortifier</x:v>
      </x:c>
      <x:c r="D566" s="31" t="str">
        <x:v>Secondary Fortifier</x:v>
      </x:c>
      <x:c r="E566" s="31" t="str">
        <x:v>introduced_update</x:v>
      </x:c>
      <x:c r="F566" s="62" t="str"/>
      <x:c r="G566" s="62" t="str">
        <x:v>Update 36.0</x:v>
      </x:c>
      <x:c r="H566" s="62" t="str"/>
      <x:c r="I566" s="62" t="str">
        <x:v>NOT_REVIEWED</x:v>
      </x:c>
      <x:c r="J566" s="62" t="str"/>
    </x:row>
    <x:row r="567">
      <x:c r="A567" s="31" t="str">
        <x:v>ARC-0154</x:v>
      </x:c>
      <x:c r="B567" s="31" t="str">
        <x:v>P2</x:v>
      </x:c>
      <x:c r="C567" s="31" t="str">
        <x:v>Secondary Fortifier</x:v>
      </x:c>
      <x:c r="D567" s="31" t="str">
        <x:v>Secondary Fortifier</x:v>
      </x:c>
      <x:c r="E567" s="31" t="str">
        <x:v>effect_text</x:v>
      </x:c>
      <x:c r="F567" s="62" t="str"/>
      <x:c r="G567" s="62" t="str">
        <x:v>Gain 1 Overguard for every 100 Damage dealt to an enemy's Overguard.\nDeals x8 Extra Damage to Overguard.
Deals x8 Extra Damage to Overguard.</x:v>
      </x:c>
      <x:c r="H567" s="62" t="str">
        <x:v>comparison=HEURISTIC_TEXT_ONLY</x:v>
      </x:c>
      <x:c r="I567" s="62" t="str">
        <x:v>NOT_REVIEWED</x:v>
      </x:c>
      <x:c r="J567" s="62" t="str"/>
    </x:row>
    <x:row r="568">
      <x:c r="A568" s="31" t="str">
        <x:v>ARC-0155</x:v>
      </x:c>
      <x:c r="B568" s="31" t="str">
        <x:v>P2</x:v>
      </x:c>
      <x:c r="C568" s="31" t="str">
        <x:v>Secondary Irradiate</x:v>
      </x:c>
      <x:c r="D568" s="31" t="str">
        <x:v>Secondary Irradiate</x:v>
      </x:c>
      <x:c r="E568" s="31" t="str">
        <x:v>unique_name</x:v>
      </x:c>
      <x:c r="F568" s="62" t="str"/>
      <x:c r="G568" s="62" t="str">
        <x:v>/Lotus/Upgrades/CosmeticEnhancers/Offensive/RadialDamageOnMaxRadiationStackHit</x:v>
      </x:c>
      <x:c r="H568" s="62" t="str">
        <x:v>reason=MISSING_OR_DIFFERENT_STABLE_ID</x:v>
      </x:c>
      <x:c r="I568" s="62" t="str">
        <x:v>NOT_REVIEWED</x:v>
      </x:c>
      <x:c r="J568" s="62" t="str"/>
    </x:row>
    <x:row r="569">
      <x:c r="A569" s="31" t="str">
        <x:v>ARC-0155</x:v>
      </x:c>
      <x:c r="B569" s="31" t="str">
        <x:v>P2</x:v>
      </x:c>
      <x:c r="C569" s="31" t="str">
        <x:v>Secondary Irradiate</x:v>
      </x:c>
      <x:c r="D569" s="31" t="str">
        <x:v>Secondary Irradiate</x:v>
      </x:c>
      <x:c r="E569" s="31" t="str">
        <x:v>equipment_type</x:v>
      </x:c>
      <x:c r="F569" s="62" t="str"/>
      <x:c r="G569" s="62" t="str">
        <x:v>Secondary Arcane</x:v>
      </x:c>
      <x:c r="H569" s="62" t="str">
        <x:v>legacy_subcategory=Descendia; reason=EQUIPMENT_COMPATIBILITY_IS_SEPARATE_FROM_LEGACY_SUBCATEGORY</x:v>
      </x:c>
      <x:c r="I569" s="62" t="str">
        <x:v>NOT_REVIEWED</x:v>
      </x:c>
      <x:c r="J569" s="62" t="str"/>
    </x:row>
    <x:row r="570">
      <x:c r="A570" s="31" t="str">
        <x:v>ARC-0155</x:v>
      </x:c>
      <x:c r="B570" s="31" t="str">
        <x:v>P2</x:v>
      </x:c>
      <x:c r="C570" s="31" t="str">
        <x:v>Secondary Irradiate</x:v>
      </x:c>
      <x:c r="D570" s="31" t="str">
        <x:v>Secondary Irradiate</x:v>
      </x:c>
      <x:c r="E570" s="31" t="str">
        <x:v>introduced_update</x:v>
      </x:c>
      <x:c r="F570" s="62" t="str">
        <x:v>41.0</x:v>
      </x:c>
      <x:c r="G570" s="62" t="str">
        <x:v>Update 41.0</x:v>
      </x:c>
      <x:c r="H570" s="62" t="str"/>
      <x:c r="I570" s="62" t="str">
        <x:v>NOT_REVIEWED</x:v>
      </x:c>
      <x:c r="J570" s="62" t="str"/>
    </x:row>
    <x:row r="571">
      <x:c r="A571" s="31" t="str">
        <x:v>ARC-0155</x:v>
      </x:c>
      <x:c r="B571" s="31" t="str">
        <x:v>P2</x:v>
      </x:c>
      <x:c r="C571" s="31" t="str">
        <x:v>Secondary Irradiate</x:v>
      </x:c>
      <x:c r="D571" s="31" t="str">
        <x:v>Secondary Irradiate</x:v>
      </x:c>
      <x:c r="E571" s="31" t="str">
        <x:v>effect_text</x:v>
      </x:c>
      <x:c r="F571" s="62" t="str">
        <x:v>Chance to proc Radiation on enemies hit</x:v>
      </x:c>
      <x:c r="G571" s="62" t="str">
        <x:v>On hitting enemies afflicted by 10 stacks of &lt;DT_RADIATION_COLOR&gt;Radiation: Deal 180% of the hit damage to enemies within 7m.</x:v>
      </x:c>
      <x:c r="H571" s="62" t="str">
        <x:v>comparison=HEURISTIC_TEXT_ONLY</x:v>
      </x:c>
      <x:c r="I571" s="62" t="str">
        <x:v>NOT_REVIEWED</x:v>
      </x:c>
      <x:c r="J571" s="62" t="str"/>
    </x:row>
    <x:row r="572">
      <x:c r="A572" s="31" t="str">
        <x:v>ARC-0156</x:v>
      </x:c>
      <x:c r="B572" s="31" t="str">
        <x:v>P2</x:v>
      </x:c>
      <x:c r="C572" s="31" t="str">
        <x:v>Secondary Kinship</x:v>
      </x:c>
      <x:c r="D572" s="31" t="str">
        <x:v>Secondary Kinship</x:v>
      </x:c>
      <x:c r="E572" s="31" t="str">
        <x:v>unique_name</x:v>
      </x:c>
      <x:c r="F572" s="62" t="str"/>
      <x:c r="G572" s="62" t="str">
        <x:v>/Lotus/Upgrades/CosmeticEnhancers/Offensive/SecondaryCritChancePerBuff</x:v>
      </x:c>
      <x:c r="H572" s="62" t="str">
        <x:v>reason=MISSING_OR_DIFFERENT_STABLE_ID</x:v>
      </x:c>
      <x:c r="I572" s="62" t="str">
        <x:v>NOT_REVIEWED</x:v>
      </x:c>
      <x:c r="J572" s="62" t="str"/>
    </x:row>
    <x:row r="573">
      <x:c r="A573" s="31" t="str">
        <x:v>ARC-0156</x:v>
      </x:c>
      <x:c r="B573" s="31" t="str">
        <x:v>P2</x:v>
      </x:c>
      <x:c r="C573" s="31" t="str">
        <x:v>Secondary Kinship</x:v>
      </x:c>
      <x:c r="D573" s="31" t="str">
        <x:v>Secondary Kinship</x:v>
      </x:c>
      <x:c r="E573" s="31" t="str">
        <x:v>equipment_type</x:v>
      </x:c>
      <x:c r="F573" s="62" t="str"/>
      <x:c r="G573" s="62" t="str">
        <x:v>Secondary Arcane</x:v>
      </x:c>
      <x:c r="H573" s="62" t="str">
        <x:v>legacy_subcategory=Steel Path; reason=EQUIPMENT_COMPATIBILITY_IS_SEPARATE_FROM_LEGACY_SUBCATEGORY</x:v>
      </x:c>
      <x:c r="I573" s="62" t="str">
        <x:v>NOT_REVIEWED</x:v>
      </x:c>
      <x:c r="J573" s="62" t="str"/>
    </x:row>
    <x:row r="574">
      <x:c r="A574" s="31" t="str">
        <x:v>ARC-0156</x:v>
      </x:c>
      <x:c r="B574" s="31" t="str">
        <x:v>P2</x:v>
      </x:c>
      <x:c r="C574" s="31" t="str">
        <x:v>Secondary Kinship</x:v>
      </x:c>
      <x:c r="D574" s="31" t="str">
        <x:v>Secondary Kinship</x:v>
      </x:c>
      <x:c r="E574" s="31" t="str">
        <x:v>introduced_update</x:v>
      </x:c>
      <x:c r="F574" s="62" t="str">
        <x:v>30.5</x:v>
      </x:c>
      <x:c r="G574" s="62" t="str">
        <x:v>Update 32.3</x:v>
      </x:c>
      <x:c r="H574" s="62" t="str"/>
      <x:c r="I574" s="62" t="str">
        <x:v>NOT_REVIEWED</x:v>
      </x:c>
      <x:c r="J574" s="62" t="str"/>
    </x:row>
    <x:row r="575">
      <x:c r="A575" s="31" t="str">
        <x:v>ARC-0156</x:v>
      </x:c>
      <x:c r="B575" s="31" t="str">
        <x:v>P2</x:v>
      </x:c>
      <x:c r="C575" s="31" t="str">
        <x:v>Secondary Kinship</x:v>
      </x:c>
      <x:c r="D575" s="31" t="str">
        <x:v>Secondary Kinship</x:v>
      </x:c>
      <x:c r="E575" s="31" t="str">
        <x:v>effect_text</x:v>
      </x:c>
      <x:c r="F575" s="62" t="str">
        <x:v>+90% Secondary Damage for 12s</x:v>
      </x:c>
      <x:c r="G575" s="62" t="str">
        <x:v>While Buffing Ally Warframes: +20% Critical Chance per buff</x:v>
      </x:c>
      <x:c r="H575" s="62" t="str">
        <x:v>comparison=HEURISTIC_TEXT_ONLY</x:v>
      </x:c>
      <x:c r="I575" s="62" t="str">
        <x:v>NOT_REVIEWED</x:v>
      </x:c>
      <x:c r="J575" s="62" t="str"/>
    </x:row>
    <x:row r="576">
      <x:c r="A576" s="31" t="str">
        <x:v>ARC-0157</x:v>
      </x:c>
      <x:c r="B576" s="31" t="str">
        <x:v>P2</x:v>
      </x:c>
      <x:c r="C576" s="31" t="str">
        <x:v>Secondary Merciless</x:v>
      </x:c>
      <x:c r="D576" s="31" t="str">
        <x:v>Secondary Merciless</x:v>
      </x:c>
      <x:c r="E576" s="31" t="str">
        <x:v>unique_name</x:v>
      </x:c>
      <x:c r="F576" s="62" t="str"/>
      <x:c r="G576" s="62" t="str">
        <x:v>/Lotus/Upgrades/CosmeticEnhancers/Offensive/SecondaryDamageOnKill</x:v>
      </x:c>
      <x:c r="H576" s="62" t="str">
        <x:v>reason=MISSING_OR_DIFFERENT_STABLE_ID</x:v>
      </x:c>
      <x:c r="I576" s="62" t="str">
        <x:v>NOT_REVIEWED</x:v>
      </x:c>
      <x:c r="J576" s="62" t="str"/>
    </x:row>
    <x:row r="577">
      <x:c r="A577" s="31" t="str">
        <x:v>ARC-0157</x:v>
      </x:c>
      <x:c r="B577" s="31" t="str">
        <x:v>P2</x:v>
      </x:c>
      <x:c r="C577" s="31" t="str">
        <x:v>Secondary Merciless</x:v>
      </x:c>
      <x:c r="D577" s="31" t="str">
        <x:v>Secondary Merciless</x:v>
      </x:c>
      <x:c r="E577" s="31" t="str">
        <x:v>equipment_type</x:v>
      </x:c>
      <x:c r="F577" s="62" t="str"/>
      <x:c r="G577" s="62" t="str">
        <x:v>Secondary Arcane</x:v>
      </x:c>
      <x:c r="H577" s="62" t="str">
        <x:v>legacy_subcategory=Steel Path; reason=EQUIPMENT_COMPATIBILITY_IS_SEPARATE_FROM_LEGACY_SUBCATEGORY</x:v>
      </x:c>
      <x:c r="I577" s="62" t="str">
        <x:v>NOT_REVIEWED</x:v>
      </x:c>
      <x:c r="J577" s="62" t="str"/>
    </x:row>
    <x:row r="578">
      <x:c r="A578" s="31" t="str">
        <x:v>ARC-0157</x:v>
      </x:c>
      <x:c r="B578" s="31" t="str">
        <x:v>P2</x:v>
      </x:c>
      <x:c r="C578" s="31" t="str">
        <x:v>Secondary Merciless</x:v>
      </x:c>
      <x:c r="D578" s="31" t="str">
        <x:v>Secondary Merciless</x:v>
      </x:c>
      <x:c r="E578" s="31" t="str">
        <x:v>introduced_update</x:v>
      </x:c>
      <x:c r="F578" s="62" t="str">
        <x:v>30.5</x:v>
      </x:c>
      <x:c r="G578" s="62" t="str">
        <x:v>Update 30.5</x:v>
      </x:c>
      <x:c r="H578" s="62" t="str"/>
      <x:c r="I578" s="62" t="str">
        <x:v>NOT_REVIEWED</x:v>
      </x:c>
      <x:c r="J578" s="62" t="str"/>
    </x:row>
    <x:row r="579">
      <x:c r="A579" s="31" t="str">
        <x:v>ARC-0157</x:v>
      </x:c>
      <x:c r="B579" s="31" t="str">
        <x:v>P2</x:v>
      </x:c>
      <x:c r="C579" s="31" t="str">
        <x:v>Secondary Merciless</x:v>
      </x:c>
      <x:c r="D579" s="31" t="str">
        <x:v>Secondary Merciless</x:v>
      </x:c>
      <x:c r="E579" s="31" t="str">
        <x:v>effect_text</x:v>
      </x:c>
      <x:c r="F579" s="62" t="str">
        <x:v>Stacking +30% Secondary Damage; max +150% for 20s</x:v>
      </x:c>
      <x:c r="G579" s="62" t="str">
        <x:v>On Kill:\n+30% Damage for 4s. Stacks up to 12x.\n+30% Reload Speed
+30% Reload Speed</x:v>
      </x:c>
      <x:c r="H579" s="62" t="str">
        <x:v>comparison=HEURISTIC_TEXT_ONLY</x:v>
      </x:c>
      <x:c r="I579" s="62" t="str">
        <x:v>NOT_REVIEWED</x:v>
      </x:c>
      <x:c r="J579" s="62" t="str"/>
    </x:row>
    <x:row r="580">
      <x:c r="A580" s="31" t="str">
        <x:v>ARC-0158</x:v>
      </x:c>
      <x:c r="B580" s="31" t="str">
        <x:v>P2</x:v>
      </x:c>
      <x:c r="C580" s="31" t="str">
        <x:v>Secondary Outburst</x:v>
      </x:c>
      <x:c r="D580" s="31" t="str">
        <x:v>Secondary Outburst</x:v>
      </x:c>
      <x:c r="E580" s="31" t="str">
        <x:v>unique_name</x:v>
      </x:c>
      <x:c r="F580" s="62" t="str"/>
      <x:c r="G580" s="62" t="str">
        <x:v>/Lotus/Upgrades/CosmeticEnhancers/Offensive/MultishotForCombo</x:v>
      </x:c>
      <x:c r="H580" s="62" t="str">
        <x:v>reason=MISSING_OR_DIFFERENT_STABLE_ID</x:v>
      </x:c>
      <x:c r="I580" s="62" t="str">
        <x:v>NOT_REVIEWED</x:v>
      </x:c>
      <x:c r="J580" s="62" t="str"/>
    </x:row>
    <x:row r="581">
      <x:c r="A581" s="31" t="str">
        <x:v>ARC-0158</x:v>
      </x:c>
      <x:c r="B581" s="31" t="str">
        <x:v>P2</x:v>
      </x:c>
      <x:c r="C581" s="31" t="str">
        <x:v>Secondary Outburst</x:v>
      </x:c>
      <x:c r="D581" s="31" t="str">
        <x:v>Secondary Outburst</x:v>
      </x:c>
      <x:c r="E581" s="31" t="str">
        <x:v>equipment_type</x:v>
      </x:c>
      <x:c r="F581" s="62" t="str"/>
      <x:c r="G581" s="62" t="str">
        <x:v>Secondary Arcane</x:v>
      </x:c>
      <x:c r="H581" s="62" t="str">
        <x:v>legacy_subcategory=Steel Path; reason=EQUIPMENT_COMPATIBILITY_IS_SEPARATE_FROM_LEGACY_SUBCATEGORY</x:v>
      </x:c>
      <x:c r="I581" s="62" t="str">
        <x:v>NOT_REVIEWED</x:v>
      </x:c>
      <x:c r="J581" s="62" t="str"/>
    </x:row>
    <x:row r="582">
      <x:c r="A582" s="31" t="str">
        <x:v>ARC-0158</x:v>
      </x:c>
      <x:c r="B582" s="31" t="str">
        <x:v>P2</x:v>
      </x:c>
      <x:c r="C582" s="31" t="str">
        <x:v>Secondary Outburst</x:v>
      </x:c>
      <x:c r="D582" s="31" t="str">
        <x:v>Secondary Outburst</x:v>
      </x:c>
      <x:c r="E582" s="31" t="str">
        <x:v>introduced_update</x:v>
      </x:c>
      <x:c r="F582" s="62" t="str">
        <x:v>30.5</x:v>
      </x:c>
      <x:c r="G582" s="62" t="str">
        <x:v>Update 33.5</x:v>
      </x:c>
      <x:c r="H582" s="62" t="str"/>
      <x:c r="I582" s="62" t="str">
        <x:v>NOT_REVIEWED</x:v>
      </x:c>
      <x:c r="J582" s="62" t="str"/>
    </x:row>
    <x:row r="583">
      <x:c r="A583" s="31" t="str">
        <x:v>ARC-0158</x:v>
      </x:c>
      <x:c r="B583" s="31" t="str">
        <x:v>P2</x:v>
      </x:c>
      <x:c r="C583" s="31" t="str">
        <x:v>Secondary Outburst</x:v>
      </x:c>
      <x:c r="D583" s="31" t="str">
        <x:v>Secondary Outburst</x:v>
      </x:c>
      <x:c r="E583" s="31" t="str">
        <x:v>effect_text</x:v>
      </x:c>
      <x:c r="F583" s="62" t="str">
        <x:v>+60% Secondary Damage for 12s</x:v>
      </x:c>
      <x:c r="G583" s="62" t="str">
        <x:v>On swapping to Secondary Weapon, consume all Combo Multipliers to increase Secondary Weapon Critical Chance and Critical Damage by 20% per Combo consumed for 30s.</x:v>
      </x:c>
      <x:c r="H583" s="62" t="str">
        <x:v>comparison=HEURISTIC_TEXT_ONLY</x:v>
      </x:c>
      <x:c r="I583" s="62" t="str">
        <x:v>NOT_REVIEWED</x:v>
      </x:c>
      <x:c r="J583" s="62" t="str"/>
    </x:row>
    <x:row r="584">
      <x:c r="A584" s="31" t="str">
        <x:v>ARC-0159</x:v>
      </x:c>
      <x:c r="B584" s="31" t="str">
        <x:v>P2</x:v>
      </x:c>
      <x:c r="C584" s="31" t="str">
        <x:v>Secondary Shiver</x:v>
      </x:c>
      <x:c r="D584" s="31" t="str">
        <x:v>Secondary Shiver</x:v>
      </x:c>
      <x:c r="E584" s="31" t="str">
        <x:v>unique_name</x:v>
      </x:c>
      <x:c r="F584" s="62" t="str"/>
      <x:c r="G584" s="62" t="str">
        <x:v>/Lotus/Upgrades/CosmeticEnhancers/Offensive/SecondaryExtraDamagePerFreezeStack</x:v>
      </x:c>
      <x:c r="H584" s="62" t="str">
        <x:v>reason=MISSING_OR_DIFFERENT_STABLE_ID</x:v>
      </x:c>
      <x:c r="I584" s="62" t="str">
        <x:v>NOT_REVIEWED</x:v>
      </x:c>
      <x:c r="J584" s="62" t="str"/>
    </x:row>
    <x:row r="585">
      <x:c r="A585" s="31" t="str">
        <x:v>ARC-0159</x:v>
      </x:c>
      <x:c r="B585" s="31" t="str">
        <x:v>P2</x:v>
      </x:c>
      <x:c r="C585" s="31" t="str">
        <x:v>Secondary Shiver</x:v>
      </x:c>
      <x:c r="D585" s="31" t="str">
        <x:v>Secondary Shiver</x:v>
      </x:c>
      <x:c r="E585" s="31" t="str">
        <x:v>equipment_type</x:v>
      </x:c>
      <x:c r="F585" s="62" t="str"/>
      <x:c r="G585" s="62" t="str">
        <x:v>Secondary Arcane</x:v>
      </x:c>
      <x:c r="H585" s="62" t="str">
        <x:v>legacy_subcategory=; reason=EQUIPMENT_COMPATIBILITY_IS_SEPARATE_FROM_LEGACY_SUBCATEGORY</x:v>
      </x:c>
      <x:c r="I585" s="62" t="str">
        <x:v>NOT_REVIEWED</x:v>
      </x:c>
      <x:c r="J585" s="62" t="str"/>
    </x:row>
    <x:row r="586">
      <x:c r="A586" s="31" t="str">
        <x:v>ARC-0159</x:v>
      </x:c>
      <x:c r="B586" s="31" t="str">
        <x:v>P2</x:v>
      </x:c>
      <x:c r="C586" s="31" t="str">
        <x:v>Secondary Shiver</x:v>
      </x:c>
      <x:c r="D586" s="31" t="str">
        <x:v>Secondary Shiver</x:v>
      </x:c>
      <x:c r="E586" s="31" t="str">
        <x:v>introduced_update</x:v>
      </x:c>
      <x:c r="F586" s="62" t="str"/>
      <x:c r="G586" s="62" t="str">
        <x:v>Update 33.0</x:v>
      </x:c>
      <x:c r="H586" s="62" t="str"/>
      <x:c r="I586" s="62" t="str">
        <x:v>NOT_REVIEWED</x:v>
      </x:c>
      <x:c r="J586" s="62" t="str"/>
    </x:row>
    <x:row r="587">
      <x:c r="A587" s="31" t="str">
        <x:v>ARC-0159</x:v>
      </x:c>
      <x:c r="B587" s="31" t="str">
        <x:v>P2</x:v>
      </x:c>
      <x:c r="C587" s="31" t="str">
        <x:v>Secondary Shiver</x:v>
      </x:c>
      <x:c r="D587" s="31" t="str">
        <x:v>Secondary Shiver</x:v>
      </x:c>
      <x:c r="E587" s="31" t="str">
        <x:v>effect_text</x:v>
      </x:c>
      <x:c r="F587" s="62" t="str"/>
      <x:c r="G587" s="62" t="str">
        <x:v>Enemies take +45% damage per &lt;DT_FREEZE_COLOR&gt;Cold Status</x:v>
      </x:c>
      <x:c r="H587" s="62" t="str">
        <x:v>comparison=HEURISTIC_TEXT_ONLY</x:v>
      </x:c>
      <x:c r="I587" s="62" t="str">
        <x:v>NOT_REVIEWED</x:v>
      </x:c>
      <x:c r="J587" s="62" t="str"/>
    </x:row>
    <x:row r="588">
      <x:c r="A588" s="31" t="str">
        <x:v>ARC-0160</x:v>
      </x:c>
      <x:c r="B588" s="31" t="str">
        <x:v>P2</x:v>
      </x:c>
      <x:c r="C588" s="31" t="str">
        <x:v>Secondary Surge</x:v>
      </x:c>
      <x:c r="D588" s="31" t="str">
        <x:v>Secondary Surge</x:v>
      </x:c>
      <x:c r="E588" s="31" t="str">
        <x:v>unique_name</x:v>
      </x:c>
      <x:c r="F588" s="62" t="str"/>
      <x:c r="G588" s="62" t="str">
        <x:v>/Lotus/Upgrades/CosmeticEnhancers/Offensive/BonusDamageNextShotForCurEnergy</x:v>
      </x:c>
      <x:c r="H588" s="62" t="str">
        <x:v>reason=MISSING_OR_DIFFERENT_STABLE_ID</x:v>
      </x:c>
      <x:c r="I588" s="62" t="str">
        <x:v>NOT_REVIEWED</x:v>
      </x:c>
      <x:c r="J588" s="62" t="str"/>
    </x:row>
    <x:row r="589">
      <x:c r="A589" s="31" t="str">
        <x:v>ARC-0160</x:v>
      </x:c>
      <x:c r="B589" s="31" t="str">
        <x:v>P2</x:v>
      </x:c>
      <x:c r="C589" s="31" t="str">
        <x:v>Secondary Surge</x:v>
      </x:c>
      <x:c r="D589" s="31" t="str">
        <x:v>Secondary Surge</x:v>
      </x:c>
      <x:c r="E589" s="31" t="str">
        <x:v>equipment_type</x:v>
      </x:c>
      <x:c r="F589" s="62" t="str"/>
      <x:c r="G589" s="62" t="str">
        <x:v>Secondary Arcane</x:v>
      </x:c>
      <x:c r="H589" s="62" t="str">
        <x:v>legacy_subcategory=; reason=EQUIPMENT_COMPATIBILITY_IS_SEPARATE_FROM_LEGACY_SUBCATEGORY</x:v>
      </x:c>
      <x:c r="I589" s="62" t="str">
        <x:v>NOT_REVIEWED</x:v>
      </x:c>
      <x:c r="J589" s="62" t="str"/>
    </x:row>
    <x:row r="590">
      <x:c r="A590" s="31" t="str">
        <x:v>ARC-0160</x:v>
      </x:c>
      <x:c r="B590" s="31" t="str">
        <x:v>P2</x:v>
      </x:c>
      <x:c r="C590" s="31" t="str">
        <x:v>Secondary Surge</x:v>
      </x:c>
      <x:c r="D590" s="31" t="str">
        <x:v>Secondary Surge</x:v>
      </x:c>
      <x:c r="E590" s="31" t="str">
        <x:v>introduced_update</x:v>
      </x:c>
      <x:c r="F590" s="62" t="str"/>
      <x:c r="G590" s="62" t="str">
        <x:v>Update 36.0</x:v>
      </x:c>
      <x:c r="H590" s="62" t="str"/>
      <x:c r="I590" s="62" t="str">
        <x:v>NOT_REVIEWED</x:v>
      </x:c>
      <x:c r="J590" s="62" t="str"/>
    </x:row>
    <x:row r="591">
      <x:c r="A591" s="31" t="str">
        <x:v>ARC-0160</x:v>
      </x:c>
      <x:c r="B591" s="31" t="str">
        <x:v>P2</x:v>
      </x:c>
      <x:c r="C591" s="31" t="str">
        <x:v>Secondary Surge</x:v>
      </x:c>
      <x:c r="D591" s="31" t="str">
        <x:v>Secondary Surge</x:v>
      </x:c>
      <x:c r="E591" s="31" t="str">
        <x:v>effect_text</x:v>
      </x:c>
      <x:c r="F591" s="62" t="str"/>
      <x:c r="G591" s="62" t="str">
        <x:v>On Ability Cast: Next shot gains a Damage Multiplier for every 200 current Energy, up to x8.</x:v>
      </x:c>
      <x:c r="H591" s="62" t="str">
        <x:v>comparison=HEURISTIC_TEXT_ONLY</x:v>
      </x:c>
      <x:c r="I591" s="62" t="str">
        <x:v>NOT_REVIEWED</x:v>
      </x:c>
      <x:c r="J591" s="62" t="str"/>
    </x:row>
    <x:row r="592">
      <x:c r="A592" s="31" t="str">
        <x:v>ARC-0161</x:v>
      </x:c>
      <x:c r="B592" s="31" t="str">
        <x:v>P2</x:v>
      </x:c>
      <x:c r="C592" s="31" t="str">
        <x:v>Shotgun Vendetta</x:v>
      </x:c>
      <x:c r="D592" s="31" t="str">
        <x:v>Shotgun Vendetta</x:v>
      </x:c>
      <x:c r="E592" s="31" t="str">
        <x:v>unique_name</x:v>
      </x:c>
      <x:c r="F592" s="62" t="str"/>
      <x:c r="G592" s="62" t="str">
        <x:v>/Lotus/Upgrades/CosmeticEnhancers/Offensive/ShotgunMultishotAndReloadSpeedOnCloseKill</x:v>
      </x:c>
      <x:c r="H592" s="62" t="str">
        <x:v>reason=MISSING_OR_DIFFERENT_STABLE_ID</x:v>
      </x:c>
      <x:c r="I592" s="62" t="str">
        <x:v>NOT_REVIEWED</x:v>
      </x:c>
      <x:c r="J592" s="62" t="str"/>
    </x:row>
    <x:row r="593">
      <x:c r="A593" s="31" t="str">
        <x:v>ARC-0161</x:v>
      </x:c>
      <x:c r="B593" s="31" t="str">
        <x:v>P2</x:v>
      </x:c>
      <x:c r="C593" s="31" t="str">
        <x:v>Shotgun Vendetta</x:v>
      </x:c>
      <x:c r="D593" s="31" t="str">
        <x:v>Shotgun Vendetta</x:v>
      </x:c>
      <x:c r="E593" s="31" t="str">
        <x:v>equipment_type</x:v>
      </x:c>
      <x:c r="F593" s="62" t="str"/>
      <x:c r="G593" s="62" t="str">
        <x:v>Shotgun Arcane</x:v>
      </x:c>
      <x:c r="H593" s="62" t="str">
        <x:v>legacy_subcategory=; reason=EQUIPMENT_COMPATIBILITY_IS_SEPARATE_FROM_LEGACY_SUBCATEGORY</x:v>
      </x:c>
      <x:c r="I593" s="62" t="str">
        <x:v>NOT_REVIEWED</x:v>
      </x:c>
      <x:c r="J593" s="62" t="str"/>
    </x:row>
    <x:row r="594">
      <x:c r="A594" s="31" t="str">
        <x:v>ARC-0161</x:v>
      </x:c>
      <x:c r="B594" s="31" t="str">
        <x:v>P2</x:v>
      </x:c>
      <x:c r="C594" s="31" t="str">
        <x:v>Shotgun Vendetta</x:v>
      </x:c>
      <x:c r="D594" s="31" t="str">
        <x:v>Shotgun Vendetta</x:v>
      </x:c>
      <x:c r="E594" s="31" t="str">
        <x:v>introduced_update</x:v>
      </x:c>
      <x:c r="F594" s="62" t="str"/>
      <x:c r="G594" s="62" t="str">
        <x:v>Update 33.0</x:v>
      </x:c>
      <x:c r="H594" s="62" t="str"/>
      <x:c r="I594" s="62" t="str">
        <x:v>NOT_REVIEWED</x:v>
      </x:c>
      <x:c r="J594" s="62" t="str"/>
    </x:row>
    <x:row r="595">
      <x:c r="A595" s="31" t="str">
        <x:v>ARC-0161</x:v>
      </x:c>
      <x:c r="B595" s="31" t="str">
        <x:v>P2</x:v>
      </x:c>
      <x:c r="C595" s="31" t="str">
        <x:v>Shotgun Vendetta</x:v>
      </x:c>
      <x:c r="D595" s="31" t="str">
        <x:v>Shotgun Vendetta</x:v>
      </x:c>
      <x:c r="E595" s="31" t="str">
        <x:v>effect_text</x:v>
      </x:c>
      <x:c r="F595" s="62" t="str"/>
      <x:c r="G595" s="62" t="str">
        <x:v>On shotgun kill within 5m of target:\n+180% Multishot and +75% Reload Speed for 15s.</x:v>
      </x:c>
      <x:c r="H595" s="62" t="str">
        <x:v>comparison=HEURISTIC_TEXT_ONLY</x:v>
      </x:c>
      <x:c r="I595" s="62" t="str">
        <x:v>NOT_REVIEWED</x:v>
      </x:c>
      <x:c r="J595" s="62" t="str"/>
    </x:row>
    <x:row r="596">
      <x:c r="A596" s="31" t="str">
        <x:v>ARC-0162</x:v>
      </x:c>
      <x:c r="B596" s="31" t="str">
        <x:v>P2</x:v>
      </x:c>
      <x:c r="C596" s="31" t="str">
        <x:v>Theorem Contagion</x:v>
      </x:c>
      <x:c r="D596" s="31" t="str">
        <x:v>Theorem Contagion</x:v>
      </x:c>
      <x:c r="E596" s="31" t="str">
        <x:v>unique_name</x:v>
      </x:c>
      <x:c r="F596" s="62" t="str"/>
      <x:c r="G596" s="62" t="str">
        <x:v>/Lotus/Upgrades/CosmeticEnhancers/Offensive/OrbsOnResidualContact</x:v>
      </x:c>
      <x:c r="H596" s="62" t="str">
        <x:v>reason=MISSING_OR_DIFFERENT_STABLE_ID</x:v>
      </x:c>
      <x:c r="I596" s="62" t="str">
        <x:v>NOT_REVIEWED</x:v>
      </x:c>
      <x:c r="J596" s="62" t="str"/>
    </x:row>
    <x:row r="597">
      <x:c r="A597" s="31" t="str">
        <x:v>ARC-0162</x:v>
      </x:c>
      <x:c r="B597" s="31" t="str">
        <x:v>P2</x:v>
      </x:c>
      <x:c r="C597" s="31" t="str">
        <x:v>Theorem Contagion</x:v>
      </x:c>
      <x:c r="D597" s="31" t="str">
        <x:v>Theorem Contagion</x:v>
      </x:c>
      <x:c r="E597" s="31" t="str">
        <x:v>equipment_type</x:v>
      </x:c>
      <x:c r="F597" s="62" t="str"/>
      <x:c r="G597" s="62" t="str">
        <x:v>Warframe Arcane</x:v>
      </x:c>
      <x:c r="H597" s="62" t="str">
        <x:v>legacy_subcategory=Theorem; reason=EQUIPMENT_COMPATIBILITY_IS_SEPARATE_FROM_LEGACY_SUBCATEGORY</x:v>
      </x:c>
      <x:c r="I597" s="62" t="str">
        <x:v>NOT_REVIEWED</x:v>
      </x:c>
      <x:c r="J597" s="62" t="str"/>
    </x:row>
    <x:row r="598">
      <x:c r="A598" s="31" t="str">
        <x:v>ARC-0162</x:v>
      </x:c>
      <x:c r="B598" s="31" t="str">
        <x:v>P2</x:v>
      </x:c>
      <x:c r="C598" s="31" t="str">
        <x:v>Theorem Contagion</x:v>
      </x:c>
      <x:c r="D598" s="31" t="str">
        <x:v>Theorem Contagion</x:v>
      </x:c>
      <x:c r="E598" s="31" t="str">
        <x:v>introduced_update</x:v>
      </x:c>
      <x:c r="F598" s="62" t="str">
        <x:v>29.0</x:v>
      </x:c>
      <x:c r="G598" s="62" t="str">
        <x:v>Update 29.5</x:v>
      </x:c>
      <x:c r="H598" s="62" t="str"/>
      <x:c r="I598" s="62" t="str">
        <x:v>NOT_REVIEWED</x:v>
      </x:c>
      <x:c r="J598" s="62" t="str"/>
    </x:row>
    <x:row r="599">
      <x:c r="A599" s="31" t="str">
        <x:v>ARC-0162</x:v>
      </x:c>
      <x:c r="B599" s="31" t="str">
        <x:v>P2</x:v>
      </x:c>
      <x:c r="C599" s="31" t="str">
        <x:v>Theorem Contagion</x:v>
      </x:c>
      <x:c r="D599" s="31" t="str">
        <x:v>Theorem Contagion</x:v>
      </x:c>
      <x:c r="E599" s="31" t="str">
        <x:v>effect_text</x:v>
      </x:c>
      <x:c r="F599" s="62" t="str">
        <x:v>Creates a Toxin cloud on kill dealing 750 DPS for 15s</x:v>
      </x:c>
      <x:c r="G599" s="62" t="str">
        <x:v>Standing in a zone created by a Residual Arcane creates a globe that orbits the player every 2s. The globes will strike the nearest enemy within 15m dealing 150 damage increasing their vulnerability to the globe's damage type by 200% for 6s. Globes will persist for 30s upon leaving the zone.
+1 Arcane Revive</x:v>
      </x:c>
      <x:c r="H599" s="62" t="str">
        <x:v>comparison=HEURISTIC_TEXT_ONLY</x:v>
      </x:c>
      <x:c r="I599" s="62" t="str">
        <x:v>NOT_REVIEWED</x:v>
      </x:c>
      <x:c r="J599" s="62" t="str"/>
    </x:row>
    <x:row r="600">
      <x:c r="A600" s="31" t="str">
        <x:v>ARC-0163</x:v>
      </x:c>
      <x:c r="B600" s="31" t="str">
        <x:v>P2</x:v>
      </x:c>
      <x:c r="C600" s="31" t="str">
        <x:v>Theorem Demulcent</x:v>
      </x:c>
      <x:c r="D600" s="31" t="str">
        <x:v>Theorem Demulcent</x:v>
      </x:c>
      <x:c r="E600" s="31" t="str">
        <x:v>unique_name</x:v>
      </x:c>
      <x:c r="F600" s="62" t="str"/>
      <x:c r="G600" s="62" t="str">
        <x:v>/Lotus/Upgrades/CosmeticEnhancers/Offensive/WeaponDamageOnResidualContact</x:v>
      </x:c>
      <x:c r="H600" s="62" t="str">
        <x:v>reason=MISSING_OR_DIFFERENT_STABLE_ID</x:v>
      </x:c>
      <x:c r="I600" s="62" t="str">
        <x:v>NOT_REVIEWED</x:v>
      </x:c>
      <x:c r="J600" s="62" t="str"/>
    </x:row>
    <x:row r="601">
      <x:c r="A601" s="31" t="str">
        <x:v>ARC-0163</x:v>
      </x:c>
      <x:c r="B601" s="31" t="str">
        <x:v>P2</x:v>
      </x:c>
      <x:c r="C601" s="31" t="str">
        <x:v>Theorem Demulcent</x:v>
      </x:c>
      <x:c r="D601" s="31" t="str">
        <x:v>Theorem Demulcent</x:v>
      </x:c>
      <x:c r="E601" s="31" t="str">
        <x:v>equipment_type</x:v>
      </x:c>
      <x:c r="F601" s="62" t="str"/>
      <x:c r="G601" s="62" t="str">
        <x:v>Warframe Arcane</x:v>
      </x:c>
      <x:c r="H601" s="62" t="str">
        <x:v>legacy_subcategory=Theorem; reason=EQUIPMENT_COMPATIBILITY_IS_SEPARATE_FROM_LEGACY_SUBCATEGORY</x:v>
      </x:c>
      <x:c r="I601" s="62" t="str">
        <x:v>NOT_REVIEWED</x:v>
      </x:c>
      <x:c r="J601" s="62" t="str"/>
    </x:row>
    <x:row r="602">
      <x:c r="A602" s="31" t="str">
        <x:v>ARC-0163</x:v>
      </x:c>
      <x:c r="B602" s="31" t="str">
        <x:v>P2</x:v>
      </x:c>
      <x:c r="C602" s="31" t="str">
        <x:v>Theorem Demulcent</x:v>
      </x:c>
      <x:c r="D602" s="31" t="str">
        <x:v>Theorem Demulcent</x:v>
      </x:c>
      <x:c r="E602" s="31" t="str">
        <x:v>introduced_update</x:v>
      </x:c>
      <x:c r="F602" s="62" t="str">
        <x:v>29.0</x:v>
      </x:c>
      <x:c r="G602" s="62" t="str">
        <x:v>Update 29.5</x:v>
      </x:c>
      <x:c r="H602" s="62" t="str"/>
      <x:c r="I602" s="62" t="str">
        <x:v>NOT_REVIEWED</x:v>
      </x:c>
      <x:c r="J602" s="62" t="str"/>
    </x:row>
    <x:row r="603">
      <x:c r="A603" s="31" t="str">
        <x:v>ARC-0163</x:v>
      </x:c>
      <x:c r="B603" s="31" t="str">
        <x:v>P2</x:v>
      </x:c>
      <x:c r="C603" s="31" t="str">
        <x:v>Theorem Demulcent</x:v>
      </x:c>
      <x:c r="D603" s="31" t="str">
        <x:v>Theorem Demulcent</x:v>
      </x:c>
      <x:c r="E603" s="31" t="str">
        <x:v>effect_text</x:v>
      </x:c>
      <x:c r="F603" s="62" t="str">
        <x:v>+12% Ability Damage per kill (up to 3 stacks) for 20s</x:v>
      </x:c>
      <x:c r="G603" s="62" t="str">
        <x:v>Standing in a zone created by a Residual Arcane increases weapon damage by 12%/s stacking up to 15x. Effect persists for 20s upon leaving the zone.
+1 Arcane Revive</x:v>
      </x:c>
      <x:c r="H603" s="62" t="str">
        <x:v>comparison=HEURISTIC_TEXT_ONLY</x:v>
      </x:c>
      <x:c r="I603" s="62" t="str">
        <x:v>NOT_REVIEWED</x:v>
      </x:c>
      <x:c r="J603" s="62" t="str"/>
    </x:row>
    <x:row r="604">
      <x:c r="A604" s="31" t="str">
        <x:v>ARC-0164</x:v>
      </x:c>
      <x:c r="B604" s="31" t="str">
        <x:v>P0</x:v>
      </x:c>
      <x:c r="C604" s="31" t="str">
        <x:v>Theorem Infection</x:v>
      </x:c>
      <x:c r="D604" s="31" t="str">
        <x:v>Theorem Infection</x:v>
      </x:c>
      <x:c r="E604" s="31" t="str">
        <x:v>unique_name</x:v>
      </x:c>
      <x:c r="F604" s="62" t="str"/>
      <x:c r="G604" s="62" t="str">
        <x:v>/Lotus/Upgrades/CosmeticEnhancers/Offensive/CompanionDamageOnResidualContact</x:v>
      </x:c>
      <x:c r="H604" s="62" t="str">
        <x:v>reason=MISSING_OR_DIFFERENT_STABLE_ID</x:v>
      </x:c>
      <x:c r="I604" s="62" t="str">
        <x:v>NOT_REVIEWED</x:v>
      </x:c>
      <x:c r="J604" s="62" t="str"/>
    </x:row>
    <x:row r="605">
      <x:c r="A605" s="31" t="str">
        <x:v>ARC-0164</x:v>
      </x:c>
      <x:c r="B605" s="31" t="str">
        <x:v>P0</x:v>
      </x:c>
      <x:c r="C605" s="31" t="str">
        <x:v>Theorem Infection</x:v>
      </x:c>
      <x:c r="D605" s="31" t="str">
        <x:v>Theorem Infection</x:v>
      </x:c>
      <x:c r="E605" s="31" t="str">
        <x:v>equipment_type</x:v>
      </x:c>
      <x:c r="F605" s="62" t="str"/>
      <x:c r="G605" s="62" t="str">
        <x:v>Warframe Arcane</x:v>
      </x:c>
      <x:c r="H605" s="62" t="str">
        <x:v>legacy_subcategory=Theorem; reason=EQUIPMENT_COMPATIBILITY_IS_SEPARATE_FROM_LEGACY_SUBCATEGORY</x:v>
      </x:c>
      <x:c r="I605" s="62" t="str">
        <x:v>NOT_REVIEWED</x:v>
      </x:c>
      <x:c r="J605" s="62" t="str"/>
    </x:row>
    <x:row r="606">
      <x:c r="A606" s="31" t="str">
        <x:v>ARC-0164</x:v>
      </x:c>
      <x:c r="B606" s="31" t="str">
        <x:v>P0</x:v>
      </x:c>
      <x:c r="C606" s="31" t="str">
        <x:v>Theorem Infection</x:v>
      </x:c>
      <x:c r="D606" s="31" t="str">
        <x:v>Theorem Infection</x:v>
      </x:c>
      <x:c r="E606" s="31" t="str">
        <x:v>introduced_update</x:v>
      </x:c>
      <x:c r="F606" s="62" t="str">
        <x:v>29.0</x:v>
      </x:c>
      <x:c r="G606" s="62" t="str">
        <x:v>Update 29.5</x:v>
      </x:c>
      <x:c r="H606" s="62" t="str"/>
      <x:c r="I606" s="62" t="str">
        <x:v>NOT_REVIEWED</x:v>
      </x:c>
      <x:c r="J606" s="62" t="str"/>
    </x:row>
    <x:row r="607">
      <x:c r="A607" s="31" t="str">
        <x:v>ARC-0164</x:v>
      </x:c>
      <x:c r="B607" s="31" t="str">
        <x:v>P0</x:v>
      </x:c>
      <x:c r="C607" s="31" t="str">
        <x:v>Theorem Infection</x:v>
      </x:c>
      <x:c r="D607" s="31" t="str">
        <x:v>Theorem Infection</x:v>
      </x:c>
      <x:c r="E607" s="31" t="str">
        <x:v>effect_text</x:v>
      </x:c>
      <x:c r="F607" s="62" t="str">
        <x:v>Spawn an Energy Orb per kill</x:v>
      </x:c>
      <x:c r="G607" s="62" t="str">
        <x:v>Standing in a zone created by a Residual Arcane increases damage of companions and summoned allies within 90m by 24%/s stacking up to 15x. Effect persists for 20s upon leaving the zone.
+1 Arcane Revive</x:v>
      </x:c>
      <x:c r="H607" s="62" t="str">
        <x:v>comparison=HEURISTIC_TEXT_ONLY</x:v>
      </x:c>
      <x:c r="I607" s="62" t="str">
        <x:v>NOT_REVIEWED</x:v>
      </x:c>
      <x:c r="J607" s="62" t="str"/>
    </x:row>
    <x:row r="608">
      <x:c r="A608" s="31" t="str">
        <x:v>ARC-0165</x:v>
      </x:c>
      <x:c r="B608" s="31" t="str">
        <x:v>P2</x:v>
      </x:c>
      <x:c r="C608" s="31" t="str">
        <x:v>Virtuos Forge</x:v>
      </x:c>
      <x:c r="D608" s="31" t="str">
        <x:v>Virtuos Forge</x:v>
      </x:c>
      <x:c r="E608" s="31" t="str">
        <x:v>unique_name</x:v>
      </x:c>
      <x:c r="F608" s="62" t="str"/>
      <x:c r="G608" s="62" t="str">
        <x:v>/Lotus/Upgrades/CosmeticEnhancers/OperatorAmps/VoidToHeatDamage</x:v>
      </x:c>
      <x:c r="H608" s="62" t="str">
        <x:v>reason=MISSING_OR_DIFFERENT_STABLE_ID</x:v>
      </x:c>
      <x:c r="I608" s="62" t="str">
        <x:v>NOT_REVIEWED</x:v>
      </x:c>
      <x:c r="J608" s="62" t="str"/>
    </x:row>
    <x:row r="609">
      <x:c r="A609" s="31" t="str">
        <x:v>ARC-0165</x:v>
      </x:c>
      <x:c r="B609" s="31" t="str">
        <x:v>P2</x:v>
      </x:c>
      <x:c r="C609" s="31" t="str">
        <x:v>Virtuos Forge</x:v>
      </x:c>
      <x:c r="D609" s="31" t="str">
        <x:v>Virtuos Forge</x:v>
      </x:c>
      <x:c r="E609" s="31" t="str">
        <x:v>equipment_type</x:v>
      </x:c>
      <x:c r="F609" s="62" t="str"/>
      <x:c r="G609" s="62" t="str">
        <x:v>Amp Arcane</x:v>
      </x:c>
      <x:c r="H609" s="62" t="str">
        <x:v>legacy_subcategory=Virtuos; reason=EQUIPMENT_COMPATIBILITY_IS_SEPARATE_FROM_LEGACY_SUBCATEGORY</x:v>
      </x:c>
      <x:c r="I609" s="62" t="str">
        <x:v>NOT_REVIEWED</x:v>
      </x:c>
      <x:c r="J609" s="62" t="str"/>
    </x:row>
    <x:row r="610">
      <x:c r="A610" s="31" t="str">
        <x:v>ARC-0165</x:v>
      </x:c>
      <x:c r="B610" s="31" t="str">
        <x:v>P2</x:v>
      </x:c>
      <x:c r="C610" s="31" t="str">
        <x:v>Virtuos Forge</x:v>
      </x:c>
      <x:c r="D610" s="31" t="str">
        <x:v>Virtuos Forge</x:v>
      </x:c>
      <x:c r="E610" s="31" t="str">
        <x:v>introduced_update</x:v>
      </x:c>
      <x:c r="F610" s="62" t="str">
        <x:v>22.0</x:v>
      </x:c>
      <x:c r="G610" s="62" t="str">
        <x:v>Update 24.2</x:v>
      </x:c>
      <x:c r="H610" s="62" t="str"/>
      <x:c r="I610" s="62" t="str">
        <x:v>NOT_REVIEWED</x:v>
      </x:c>
      <x:c r="J610" s="62" t="str"/>
    </x:row>
    <x:row r="611">
      <x:c r="A611" s="31" t="str">
        <x:v>ARC-0165</x:v>
      </x:c>
      <x:c r="B611" s="31" t="str">
        <x:v>P2</x:v>
      </x:c>
      <x:c r="C611" s="31" t="str">
        <x:v>Virtuos Forge</x:v>
      </x:c>
      <x:c r="D611" s="31" t="str">
        <x:v>Virtuos Forge</x:v>
      </x:c>
      <x:c r="E611" s="31" t="str">
        <x:v>effect_text</x:v>
      </x:c>
      <x:c r="F611" s="62" t="str">
        <x:v>Chance to create a Heat explosion on Void Blast</x:v>
      </x:c>
      <x:c r="G611" s="62" t="str">
        <x:v>On Hit:\nConverts 98% &lt;DT_RADIANT_COLOR&gt;Void Damage to &lt;DT_FIRE_COLOR&gt;Heat Damage.</x:v>
      </x:c>
      <x:c r="H611" s="62" t="str">
        <x:v>comparison=HEURISTIC_TEXT_ONLY</x:v>
      </x:c>
      <x:c r="I611" s="62" t="str">
        <x:v>NOT_REVIEWED</x:v>
      </x:c>
      <x:c r="J611" s="62" t="str"/>
    </x:row>
    <x:row r="612">
      <x:c r="A612" s="31" t="str">
        <x:v>ARC-0166</x:v>
      </x:c>
      <x:c r="B612" s="31" t="str">
        <x:v>P2</x:v>
      </x:c>
      <x:c r="C612" s="31" t="str">
        <x:v>Virtuos Fury</x:v>
      </x:c>
      <x:c r="D612" s="31" t="str">
        <x:v>Virtuos Fury</x:v>
      </x:c>
      <x:c r="E612" s="31" t="str">
        <x:v>unique_name</x:v>
      </x:c>
      <x:c r="F612" s="62" t="str"/>
      <x:c r="G612" s="62" t="str">
        <x:v>/Lotus/Upgrades/CosmeticEnhancers/OperatorAmps/IncreasedDamageOnStatusProc</x:v>
      </x:c>
      <x:c r="H612" s="62" t="str">
        <x:v>reason=MISSING_OR_DIFFERENT_STABLE_ID</x:v>
      </x:c>
      <x:c r="I612" s="62" t="str">
        <x:v>NOT_REVIEWED</x:v>
      </x:c>
      <x:c r="J612" s="62" t="str"/>
    </x:row>
    <x:row r="613">
      <x:c r="A613" s="31" t="str">
        <x:v>ARC-0166</x:v>
      </x:c>
      <x:c r="B613" s="31" t="str">
        <x:v>P2</x:v>
      </x:c>
      <x:c r="C613" s="31" t="str">
        <x:v>Virtuos Fury</x:v>
      </x:c>
      <x:c r="D613" s="31" t="str">
        <x:v>Virtuos Fury</x:v>
      </x:c>
      <x:c r="E613" s="31" t="str">
        <x:v>equipment_type</x:v>
      </x:c>
      <x:c r="F613" s="62" t="str"/>
      <x:c r="G613" s="62" t="str">
        <x:v>Amp Arcane</x:v>
      </x:c>
      <x:c r="H613" s="62" t="str">
        <x:v>legacy_subcategory=; reason=EQUIPMENT_COMPATIBILITY_IS_SEPARATE_FROM_LEGACY_SUBCATEGORY</x:v>
      </x:c>
      <x:c r="I613" s="62" t="str">
        <x:v>NOT_REVIEWED</x:v>
      </x:c>
      <x:c r="J613" s="62" t="str"/>
    </x:row>
    <x:row r="614">
      <x:c r="A614" s="31" t="str">
        <x:v>ARC-0166</x:v>
      </x:c>
      <x:c r="B614" s="31" t="str">
        <x:v>P2</x:v>
      </x:c>
      <x:c r="C614" s="31" t="str">
        <x:v>Virtuos Fury</x:v>
      </x:c>
      <x:c r="D614" s="31" t="str">
        <x:v>Virtuos Fury</x:v>
      </x:c>
      <x:c r="E614" s="31" t="str">
        <x:v>introduced_update</x:v>
      </x:c>
      <x:c r="F614" s="62" t="str"/>
      <x:c r="G614" s="62" t="str">
        <x:v>Update 22.0</x:v>
      </x:c>
      <x:c r="H614" s="62" t="str"/>
      <x:c r="I614" s="62" t="str">
        <x:v>NOT_REVIEWED</x:v>
      </x:c>
      <x:c r="J614" s="62" t="str"/>
    </x:row>
    <x:row r="615">
      <x:c r="A615" s="31" t="str">
        <x:v>ARC-0166</x:v>
      </x:c>
      <x:c r="B615" s="31" t="str">
        <x:v>P2</x:v>
      </x:c>
      <x:c r="C615" s="31" t="str">
        <x:v>Virtuos Fury</x:v>
      </x:c>
      <x:c r="D615" s="31" t="str">
        <x:v>Virtuos Fury</x:v>
      </x:c>
      <x:c r="E615" s="31" t="str">
        <x:v>tradable</x:v>
      </x:c>
      <x:c r="F615" s="62" t="str">
        <x:v>false</x:v>
      </x:c>
      <x:c r="G615" s="62" t="str">
        <x:v>true</x:v>
      </x:c>
      <x:c r="H615" s="62" t="str"/>
      <x:c r="I615" s="62" t="str">
        <x:v>NOT_REVIEWED</x:v>
      </x:c>
      <x:c r="J615" s="62" t="str"/>
    </x:row>
    <x:row r="616">
      <x:c r="A616" s="31" t="str">
        <x:v>ARC-0166</x:v>
      </x:c>
      <x:c r="B616" s="31" t="str">
        <x:v>P2</x:v>
      </x:c>
      <x:c r="C616" s="31" t="str">
        <x:v>Virtuos Fury</x:v>
      </x:c>
      <x:c r="D616" s="31" t="str">
        <x:v>Virtuos Fury</x:v>
      </x:c>
      <x:c r="E616" s="31" t="str">
        <x:v>effect_text</x:v>
      </x:c>
      <x:c r="F616" s="62" t="str"/>
      <x:c r="G616" s="62" t="str">
        <x:v>On Status Effect:\n20% chance for +30% Damage for 4s</x:v>
      </x:c>
      <x:c r="H616" s="62" t="str">
        <x:v>comparison=HEURISTIC_TEXT_ONLY</x:v>
      </x:c>
      <x:c r="I616" s="62" t="str">
        <x:v>NOT_REVIEWED</x:v>
      </x:c>
      <x:c r="J616" s="62" t="str"/>
    </x:row>
    <x:row r="617">
      <x:c r="A617" s="31" t="str">
        <x:v>ARC-0167</x:v>
      </x:c>
      <x:c r="B617" s="31" t="str">
        <x:v>P2</x:v>
      </x:c>
      <x:c r="C617" s="31" t="str">
        <x:v>Virtuos Ghost</x:v>
      </x:c>
      <x:c r="D617" s="31" t="str">
        <x:v>Virtuos Ghost</x:v>
      </x:c>
      <x:c r="E617" s="31" t="str">
        <x:v>unique_name</x:v>
      </x:c>
      <x:c r="F617" s="62" t="str"/>
      <x:c r="G617" s="62" t="str">
        <x:v>/Lotus/Upgrades/CosmeticEnhancers/OperatorAmps/StatusChanceOnHeadshot</x:v>
      </x:c>
      <x:c r="H617" s="62" t="str">
        <x:v>reason=MISSING_OR_DIFFERENT_STABLE_ID</x:v>
      </x:c>
      <x:c r="I617" s="62" t="str">
        <x:v>NOT_REVIEWED</x:v>
      </x:c>
      <x:c r="J617" s="62" t="str"/>
    </x:row>
    <x:row r="618">
      <x:c r="A618" s="31" t="str">
        <x:v>ARC-0167</x:v>
      </x:c>
      <x:c r="B618" s="31" t="str">
        <x:v>P2</x:v>
      </x:c>
      <x:c r="C618" s="31" t="str">
        <x:v>Virtuos Ghost</x:v>
      </x:c>
      <x:c r="D618" s="31" t="str">
        <x:v>Virtuos Ghost</x:v>
      </x:c>
      <x:c r="E618" s="31" t="str">
        <x:v>equipment_type</x:v>
      </x:c>
      <x:c r="F618" s="62" t="str"/>
      <x:c r="G618" s="62" t="str">
        <x:v>Amp Arcane</x:v>
      </x:c>
      <x:c r="H618" s="62" t="str">
        <x:v>legacy_subcategory=Virtuos; reason=EQUIPMENT_COMPATIBILITY_IS_SEPARATE_FROM_LEGACY_SUBCATEGORY</x:v>
      </x:c>
      <x:c r="I618" s="62" t="str">
        <x:v>NOT_REVIEWED</x:v>
      </x:c>
      <x:c r="J618" s="62" t="str"/>
    </x:row>
    <x:row r="619">
      <x:c r="A619" s="31" t="str">
        <x:v>ARC-0167</x:v>
      </x:c>
      <x:c r="B619" s="31" t="str">
        <x:v>P2</x:v>
      </x:c>
      <x:c r="C619" s="31" t="str">
        <x:v>Virtuos Ghost</x:v>
      </x:c>
      <x:c r="D619" s="31" t="str">
        <x:v>Virtuos Ghost</x:v>
      </x:c>
      <x:c r="E619" s="31" t="str">
        <x:v>introduced_update</x:v>
      </x:c>
      <x:c r="F619" s="62" t="str">
        <x:v>22.0</x:v>
      </x:c>
      <x:c r="G619" s="62" t="str">
        <x:v>Update 22.0</x:v>
      </x:c>
      <x:c r="H619" s="62" t="str"/>
      <x:c r="I619" s="62" t="str">
        <x:v>NOT_REVIEWED</x:v>
      </x:c>
      <x:c r="J619" s="62" t="str"/>
    </x:row>
    <x:row r="620">
      <x:c r="A620" s="31" t="str">
        <x:v>ARC-0167</x:v>
      </x:c>
      <x:c r="B620" s="31" t="str">
        <x:v>P2</x:v>
      </x:c>
      <x:c r="C620" s="31" t="str">
        <x:v>Virtuos Ghost</x:v>
      </x:c>
      <x:c r="D620" s="31" t="str">
        <x:v>Virtuos Ghost</x:v>
      </x:c>
      <x:c r="E620" s="31" t="str">
        <x:v>effect_text</x:v>
      </x:c>
      <x:c r="F620" s="62" t="str">
        <x:v>Operator becomes invisible for 10s on Void Blast</x:v>
      </x:c>
      <x:c r="G620" s="62" t="str">
        <x:v>On Headshot:\n40% chance for +60% Status Chance for 12s</x:v>
      </x:c>
      <x:c r="H620" s="62" t="str">
        <x:v>comparison=HEURISTIC_TEXT_ONLY</x:v>
      </x:c>
      <x:c r="I620" s="62" t="str">
        <x:v>NOT_REVIEWED</x:v>
      </x:c>
      <x:c r="J620" s="62" t="str"/>
    </x:row>
    <x:row r="621">
      <x:c r="A621" s="31" t="str">
        <x:v>ARC-0168</x:v>
      </x:c>
      <x:c r="B621" s="31" t="str">
        <x:v>P2</x:v>
      </x:c>
      <x:c r="C621" s="31" t="str">
        <x:v>Virtuos Null</x:v>
      </x:c>
      <x:c r="D621" s="31" t="str">
        <x:v>Virtuos Null</x:v>
      </x:c>
      <x:c r="E621" s="31" t="str">
        <x:v>unique_name</x:v>
      </x:c>
      <x:c r="F621" s="62" t="str"/>
      <x:c r="G621" s="62" t="str">
        <x:v>/Lotus/Upgrades/CosmeticEnhancers/OperatorAmps/OperatorAmmoRegenOnKill</x:v>
      </x:c>
      <x:c r="H621" s="62" t="str">
        <x:v>reason=MISSING_OR_DIFFERENT_STABLE_ID</x:v>
      </x:c>
      <x:c r="I621" s="62" t="str">
        <x:v>NOT_REVIEWED</x:v>
      </x:c>
      <x:c r="J621" s="62" t="str"/>
    </x:row>
    <x:row r="622">
      <x:c r="A622" s="31" t="str">
        <x:v>ARC-0168</x:v>
      </x:c>
      <x:c r="B622" s="31" t="str">
        <x:v>P2</x:v>
      </x:c>
      <x:c r="C622" s="31" t="str">
        <x:v>Virtuos Null</x:v>
      </x:c>
      <x:c r="D622" s="31" t="str">
        <x:v>Virtuos Null</x:v>
      </x:c>
      <x:c r="E622" s="31" t="str">
        <x:v>equipment_type</x:v>
      </x:c>
      <x:c r="F622" s="62" t="str"/>
      <x:c r="G622" s="62" t="str">
        <x:v>Amp Arcane</x:v>
      </x:c>
      <x:c r="H622" s="62" t="str">
        <x:v>legacy_subcategory=; reason=EQUIPMENT_COMPATIBILITY_IS_SEPARATE_FROM_LEGACY_SUBCATEGORY</x:v>
      </x:c>
      <x:c r="I622" s="62" t="str">
        <x:v>NOT_REVIEWED</x:v>
      </x:c>
      <x:c r="J622" s="62" t="str"/>
    </x:row>
    <x:row r="623">
      <x:c r="A623" s="31" t="str">
        <x:v>ARC-0168</x:v>
      </x:c>
      <x:c r="B623" s="31" t="str">
        <x:v>P2</x:v>
      </x:c>
      <x:c r="C623" s="31" t="str">
        <x:v>Virtuos Null</x:v>
      </x:c>
      <x:c r="D623" s="31" t="str">
        <x:v>Virtuos Null</x:v>
      </x:c>
      <x:c r="E623" s="31" t="str">
        <x:v>introduced_update</x:v>
      </x:c>
      <x:c r="F623" s="62" t="str"/>
      <x:c r="G623" s="62" t="str">
        <x:v>Update 22.0</x:v>
      </x:c>
      <x:c r="H623" s="62" t="str"/>
      <x:c r="I623" s="62" t="str">
        <x:v>NOT_REVIEWED</x:v>
      </x:c>
      <x:c r="J623" s="62" t="str"/>
    </x:row>
    <x:row r="624">
      <x:c r="A624" s="31" t="str">
        <x:v>ARC-0168</x:v>
      </x:c>
      <x:c r="B624" s="31" t="str">
        <x:v>P2</x:v>
      </x:c>
      <x:c r="C624" s="31" t="str">
        <x:v>Virtuos Null</x:v>
      </x:c>
      <x:c r="D624" s="31" t="str">
        <x:v>Virtuos Null</x:v>
      </x:c>
      <x:c r="E624" s="31" t="str">
        <x:v>tradable</x:v>
      </x:c>
      <x:c r="F624" s="62" t="str">
        <x:v>false</x:v>
      </x:c>
      <x:c r="G624" s="62" t="str">
        <x:v>true</x:v>
      </x:c>
      <x:c r="H624" s="62" t="str"/>
      <x:c r="I624" s="62" t="str">
        <x:v>NOT_REVIEWED</x:v>
      </x:c>
      <x:c r="J624" s="62" t="str"/>
    </x:row>
    <x:row r="625">
      <x:c r="A625" s="31" t="str">
        <x:v>ARC-0168</x:v>
      </x:c>
      <x:c r="B625" s="31" t="str">
        <x:v>P2</x:v>
      </x:c>
      <x:c r="C625" s="31" t="str">
        <x:v>Virtuos Null</x:v>
      </x:c>
      <x:c r="D625" s="31" t="str">
        <x:v>Virtuos Null</x:v>
      </x:c>
      <x:c r="E625" s="31" t="str">
        <x:v>effect_text</x:v>
      </x:c>
      <x:c r="F625" s="62" t="str"/>
      <x:c r="G625" s="62" t="str">
        <x:v>On Kill:\n+20% Amp Energy Regeneration for 4s</x:v>
      </x:c>
      <x:c r="H625" s="62" t="str">
        <x:v>comparison=HEURISTIC_TEXT_ONLY</x:v>
      </x:c>
      <x:c r="I625" s="62" t="str">
        <x:v>NOT_REVIEWED</x:v>
      </x:c>
      <x:c r="J625" s="62" t="str"/>
    </x:row>
    <x:row r="626">
      <x:c r="A626" s="31" t="str">
        <x:v>ARC-0169</x:v>
      </x:c>
      <x:c r="B626" s="31" t="str">
        <x:v>P2</x:v>
      </x:c>
      <x:c r="C626" s="31" t="str">
        <x:v>Virtuos Shadow</x:v>
      </x:c>
      <x:c r="D626" s="31" t="str">
        <x:v>Virtuos Shadow</x:v>
      </x:c>
      <x:c r="E626" s="31" t="str">
        <x:v>unique_name</x:v>
      </x:c>
      <x:c r="F626" s="62" t="str"/>
      <x:c r="G626" s="62" t="str">
        <x:v>/Lotus/Upgrades/CosmeticEnhancers/OperatorAmps/CriticalChanceOnHeadshot</x:v>
      </x:c>
      <x:c r="H626" s="62" t="str">
        <x:v>reason=MISSING_OR_DIFFERENT_STABLE_ID</x:v>
      </x:c>
      <x:c r="I626" s="62" t="str">
        <x:v>NOT_REVIEWED</x:v>
      </x:c>
      <x:c r="J626" s="62" t="str"/>
    </x:row>
    <x:row r="627">
      <x:c r="A627" s="31" t="str">
        <x:v>ARC-0169</x:v>
      </x:c>
      <x:c r="B627" s="31" t="str">
        <x:v>P2</x:v>
      </x:c>
      <x:c r="C627" s="31" t="str">
        <x:v>Virtuos Shadow</x:v>
      </x:c>
      <x:c r="D627" s="31" t="str">
        <x:v>Virtuos Shadow</x:v>
      </x:c>
      <x:c r="E627" s="31" t="str">
        <x:v>equipment_type</x:v>
      </x:c>
      <x:c r="F627" s="62" t="str"/>
      <x:c r="G627" s="62" t="str">
        <x:v>Amp Arcane</x:v>
      </x:c>
      <x:c r="H627" s="62" t="str">
        <x:v>legacy_subcategory=Virtuos; reason=EQUIPMENT_COMPATIBILITY_IS_SEPARATE_FROM_LEGACY_SUBCATEGORY</x:v>
      </x:c>
      <x:c r="I627" s="62" t="str">
        <x:v>NOT_REVIEWED</x:v>
      </x:c>
      <x:c r="J627" s="62" t="str"/>
    </x:row>
    <x:row r="628">
      <x:c r="A628" s="31" t="str">
        <x:v>ARC-0169</x:v>
      </x:c>
      <x:c r="B628" s="31" t="str">
        <x:v>P2</x:v>
      </x:c>
      <x:c r="C628" s="31" t="str">
        <x:v>Virtuos Shadow</x:v>
      </x:c>
      <x:c r="D628" s="31" t="str">
        <x:v>Virtuos Shadow</x:v>
      </x:c>
      <x:c r="E628" s="31" t="str">
        <x:v>introduced_update</x:v>
      </x:c>
      <x:c r="F628" s="62" t="str">
        <x:v>22.0</x:v>
      </x:c>
      <x:c r="G628" s="62" t="str">
        <x:v>Update 22.0</x:v>
      </x:c>
      <x:c r="H628" s="62" t="str"/>
      <x:c r="I628" s="62" t="str">
        <x:v>NOT_REVIEWED</x:v>
      </x:c>
      <x:c r="J628" s="62" t="str"/>
    </x:row>
    <x:row r="629">
      <x:c r="A629" s="31" t="str">
        <x:v>ARC-0169</x:v>
      </x:c>
      <x:c r="B629" s="31" t="str">
        <x:v>P2</x:v>
      </x:c>
      <x:c r="C629" s="31" t="str">
        <x:v>Virtuos Shadow</x:v>
      </x:c>
      <x:c r="D629" s="31" t="str">
        <x:v>Virtuos Shadow</x:v>
      </x:c>
      <x:c r="E629" s="31" t="str">
        <x:v>effect_text</x:v>
      </x:c>
      <x:c r="F629" s="62" t="str">
        <x:v>+60% Amp Crit Chance while aim-gliding for 10s</x:v>
      </x:c>
      <x:c r="G629" s="62" t="str">
        <x:v>On Headshot:\n40% chance for +60% Critical Chance for 12s</x:v>
      </x:c>
      <x:c r="H629" s="62" t="str">
        <x:v>comparison=HEURISTIC_TEXT_ONLY</x:v>
      </x:c>
      <x:c r="I629" s="62" t="str">
        <x:v>NOT_REVIEWED</x:v>
      </x:c>
      <x:c r="J629" s="62" t="str"/>
    </x:row>
    <x:row r="630">
      <x:c r="A630" s="31" t="str">
        <x:v>ARC-0170</x:v>
      </x:c>
      <x:c r="B630" s="31" t="str">
        <x:v>P2</x:v>
      </x:c>
      <x:c r="C630" s="31" t="str">
        <x:v>Virtuos Spike</x:v>
      </x:c>
      <x:c r="D630" s="31" t="str">
        <x:v>Virtuos Spike</x:v>
      </x:c>
      <x:c r="E630" s="31" t="str">
        <x:v>unique_name</x:v>
      </x:c>
      <x:c r="F630" s="62" t="str"/>
      <x:c r="G630" s="62" t="str">
        <x:v>/Lotus/Upgrades/CosmeticEnhancers/OperatorAmps/VoidToPunctureDamage</x:v>
      </x:c>
      <x:c r="H630" s="62" t="str">
        <x:v>reason=MISSING_OR_DIFFERENT_STABLE_ID</x:v>
      </x:c>
      <x:c r="I630" s="62" t="str">
        <x:v>NOT_REVIEWED</x:v>
      </x:c>
      <x:c r="J630" s="62" t="str"/>
    </x:row>
    <x:row r="631">
      <x:c r="A631" s="31" t="str">
        <x:v>ARC-0170</x:v>
      </x:c>
      <x:c r="B631" s="31" t="str">
        <x:v>P2</x:v>
      </x:c>
      <x:c r="C631" s="31" t="str">
        <x:v>Virtuos Spike</x:v>
      </x:c>
      <x:c r="D631" s="31" t="str">
        <x:v>Virtuos Spike</x:v>
      </x:c>
      <x:c r="E631" s="31" t="str">
        <x:v>equipment_type</x:v>
      </x:c>
      <x:c r="F631" s="62" t="str"/>
      <x:c r="G631" s="62" t="str">
        <x:v>Amp Arcane</x:v>
      </x:c>
      <x:c r="H631" s="62" t="str">
        <x:v>legacy_subcategory=Virtuos; reason=EQUIPMENT_COMPATIBILITY_IS_SEPARATE_FROM_LEGACY_SUBCATEGORY</x:v>
      </x:c>
      <x:c r="I631" s="62" t="str">
        <x:v>NOT_REVIEWED</x:v>
      </x:c>
      <x:c r="J631" s="62" t="str"/>
    </x:row>
    <x:row r="632">
      <x:c r="A632" s="31" t="str">
        <x:v>ARC-0170</x:v>
      </x:c>
      <x:c r="B632" s="31" t="str">
        <x:v>P2</x:v>
      </x:c>
      <x:c r="C632" s="31" t="str">
        <x:v>Virtuos Spike</x:v>
      </x:c>
      <x:c r="D632" s="31" t="str">
        <x:v>Virtuos Spike</x:v>
      </x:c>
      <x:c r="E632" s="31" t="str">
        <x:v>introduced_update</x:v>
      </x:c>
      <x:c r="F632" s="62" t="str">
        <x:v>22.0</x:v>
      </x:c>
      <x:c r="G632" s="62" t="str">
        <x:v>Update 24.2</x:v>
      </x:c>
      <x:c r="H632" s="62" t="str"/>
      <x:c r="I632" s="62" t="str">
        <x:v>NOT_REVIEWED</x:v>
      </x:c>
      <x:c r="J632" s="62" t="str"/>
    </x:row>
    <x:row r="633">
      <x:c r="A633" s="31" t="str">
        <x:v>ARC-0170</x:v>
      </x:c>
      <x:c r="B633" s="31" t="str">
        <x:v>P2</x:v>
      </x:c>
      <x:c r="C633" s="31" t="str">
        <x:v>Virtuos Spike</x:v>
      </x:c>
      <x:c r="D633" s="31" t="str">
        <x:v>Virtuos Spike</x:v>
      </x:c>
      <x:c r="E633" s="31" t="str">
        <x:v>effect_text</x:v>
      </x:c>
      <x:c r="F633" s="62" t="str">
        <x:v>Chance to proc Radiation on Void Blast</x:v>
      </x:c>
      <x:c r="G633" s="62" t="str">
        <x:v>On Hit:\nConverts 98% &lt;DT_RADIANT_COLOR&gt;Void Damage to &lt;DT_PUNCTURE_COLOR&gt;Puncture Damage.</x:v>
      </x:c>
      <x:c r="H633" s="62" t="str">
        <x:v>comparison=HEURISTIC_TEXT_ONLY</x:v>
      </x:c>
      <x:c r="I633" s="62" t="str">
        <x:v>NOT_REVIEWED</x:v>
      </x:c>
      <x:c r="J633" s="62" t="str"/>
    </x:row>
    <x:row r="634">
      <x:c r="A634" s="31" t="str">
        <x:v>ARC-0171</x:v>
      </x:c>
      <x:c r="B634" s="31" t="str">
        <x:v>P2</x:v>
      </x:c>
      <x:c r="C634" s="31" t="str">
        <x:v>Virtuos Strike</x:v>
      </x:c>
      <x:c r="D634" s="31" t="str">
        <x:v>Virtuos Strike</x:v>
      </x:c>
      <x:c r="E634" s="31" t="str">
        <x:v>unique_name</x:v>
      </x:c>
      <x:c r="F634" s="62" t="str"/>
      <x:c r="G634" s="62" t="str">
        <x:v>/Lotus/Upgrades/CosmeticEnhancers/OperatorAmps/IncreasedCriticalDamageOnCriticalStrike</x:v>
      </x:c>
      <x:c r="H634" s="62" t="str">
        <x:v>reason=MISSING_OR_DIFFERENT_STABLE_ID</x:v>
      </x:c>
      <x:c r="I634" s="62" t="str">
        <x:v>NOT_REVIEWED</x:v>
      </x:c>
      <x:c r="J634" s="62" t="str"/>
    </x:row>
    <x:row r="635">
      <x:c r="A635" s="31" t="str">
        <x:v>ARC-0171</x:v>
      </x:c>
      <x:c r="B635" s="31" t="str">
        <x:v>P2</x:v>
      </x:c>
      <x:c r="C635" s="31" t="str">
        <x:v>Virtuos Strike</x:v>
      </x:c>
      <x:c r="D635" s="31" t="str">
        <x:v>Virtuos Strike</x:v>
      </x:c>
      <x:c r="E635" s="31" t="str">
        <x:v>equipment_type</x:v>
      </x:c>
      <x:c r="F635" s="62" t="str"/>
      <x:c r="G635" s="62" t="str">
        <x:v>Amp Arcane</x:v>
      </x:c>
      <x:c r="H635" s="62" t="str">
        <x:v>legacy_subcategory=Virtuos; reason=EQUIPMENT_COMPATIBILITY_IS_SEPARATE_FROM_LEGACY_SUBCATEGORY</x:v>
      </x:c>
      <x:c r="I635" s="62" t="str">
        <x:v>NOT_REVIEWED</x:v>
      </x:c>
      <x:c r="J635" s="62" t="str"/>
    </x:row>
    <x:row r="636">
      <x:c r="A636" s="31" t="str">
        <x:v>ARC-0171</x:v>
      </x:c>
      <x:c r="B636" s="31" t="str">
        <x:v>P2</x:v>
      </x:c>
      <x:c r="C636" s="31" t="str">
        <x:v>Virtuos Strike</x:v>
      </x:c>
      <x:c r="D636" s="31" t="str">
        <x:v>Virtuos Strike</x:v>
      </x:c>
      <x:c r="E636" s="31" t="str">
        <x:v>introduced_update</x:v>
      </x:c>
      <x:c r="F636" s="62" t="str">
        <x:v>22.0</x:v>
      </x:c>
      <x:c r="G636" s="62" t="str">
        <x:v>Update 22.0</x:v>
      </x:c>
      <x:c r="H636" s="62" t="str"/>
      <x:c r="I636" s="62" t="str">
        <x:v>NOT_REVIEWED</x:v>
      </x:c>
      <x:c r="J636" s="62" t="str"/>
    </x:row>
    <x:row r="637">
      <x:c r="A637" s="31" t="str">
        <x:v>ARC-0171</x:v>
      </x:c>
      <x:c r="B637" s="31" t="str">
        <x:v>P2</x:v>
      </x:c>
      <x:c r="C637" s="31" t="str">
        <x:v>Virtuos Strike</x:v>
      </x:c>
      <x:c r="D637" s="31" t="str">
        <x:v>Virtuos Strike</x:v>
      </x:c>
      <x:c r="E637" s="31" t="str">
        <x:v>effect_text</x:v>
      </x:c>
      <x:c r="F637" s="62" t="str">
        <x:v>+60% Amp Crit Damage for 12s</x:v>
      </x:c>
      <x:c r="G637" s="62" t="str">
        <x:v>On Critical Hit:\n20% chance for +80% Critical Damage for 4s</x:v>
      </x:c>
      <x:c r="H637" s="62" t="str">
        <x:v>comparison=HEURISTIC_TEXT_ONLY</x:v>
      </x:c>
      <x:c r="I637" s="62" t="str">
        <x:v>NOT_REVIEWED</x:v>
      </x:c>
      <x:c r="J637" s="62" t="str"/>
    </x:row>
    <x:row r="638">
      <x:c r="A638" s="31" t="str">
        <x:v>ARC-0172</x:v>
      </x:c>
      <x:c r="B638" s="31" t="str">
        <x:v>P0</x:v>
      </x:c>
      <x:c r="C638" s="31" t="str">
        <x:v>Virtuos Surge</x:v>
      </x:c>
      <x:c r="D638" s="31" t="str">
        <x:v>Virtuos Surge</x:v>
      </x:c>
      <x:c r="E638" s="31" t="str">
        <x:v>unique_name</x:v>
      </x:c>
      <x:c r="F638" s="62" t="str"/>
      <x:c r="G638" s="62" t="str">
        <x:v>/Lotus/Upgrades/CosmeticEnhancers/OperatorAmps/VoidToElectricDamage</x:v>
      </x:c>
      <x:c r="H638" s="62" t="str">
        <x:v>reason=MISSING_OR_DIFFERENT_STABLE_ID</x:v>
      </x:c>
      <x:c r="I638" s="62" t="str">
        <x:v>NOT_REVIEWED</x:v>
      </x:c>
      <x:c r="J638" s="62" t="str"/>
    </x:row>
    <x:row r="639">
      <x:c r="A639" s="31" t="str">
        <x:v>ARC-0172</x:v>
      </x:c>
      <x:c r="B639" s="31" t="str">
        <x:v>P0</x:v>
      </x:c>
      <x:c r="C639" s="31" t="str">
        <x:v>Virtuos Surge</x:v>
      </x:c>
      <x:c r="D639" s="31" t="str">
        <x:v>Virtuos Surge</x:v>
      </x:c>
      <x:c r="E639" s="31" t="str">
        <x:v>equipment_type</x:v>
      </x:c>
      <x:c r="F639" s="62" t="str"/>
      <x:c r="G639" s="62" t="str">
        <x:v>Amp Arcane</x:v>
      </x:c>
      <x:c r="H639" s="62" t="str">
        <x:v>legacy_subcategory=; reason=EQUIPMENT_COMPATIBILITY_IS_SEPARATE_FROM_LEGACY_SUBCATEGORY</x:v>
      </x:c>
      <x:c r="I639" s="62" t="str">
        <x:v>NOT_REVIEWED</x:v>
      </x:c>
      <x:c r="J639" s="62" t="str"/>
    </x:row>
    <x:row r="640">
      <x:c r="A640" s="31" t="str">
        <x:v>ARC-0172</x:v>
      </x:c>
      <x:c r="B640" s="31" t="str">
        <x:v>P0</x:v>
      </x:c>
      <x:c r="C640" s="31" t="str">
        <x:v>Virtuos Surge</x:v>
      </x:c>
      <x:c r="D640" s="31" t="str">
        <x:v>Virtuos Surge</x:v>
      </x:c>
      <x:c r="E640" s="31" t="str">
        <x:v>max_rank</x:v>
      </x:c>
      <x:c r="F640" s="62" t="str">
        <x:v>5</x:v>
      </x:c>
      <x:c r="G640" s="62" t="str">
        <x:v>3</x:v>
      </x:c>
      <x:c r="H640" s="62" t="str"/>
      <x:c r="I640" s="62" t="str">
        <x:v>NOT_REVIEWED</x:v>
      </x:c>
      <x:c r="J640" s="62" t="str"/>
    </x:row>
    <x:row r="641">
      <x:c r="A641" s="31" t="str">
        <x:v>ARC-0172</x:v>
      </x:c>
      <x:c r="B641" s="31" t="str">
        <x:v>P0</x:v>
      </x:c>
      <x:c r="C641" s="31" t="str">
        <x:v>Virtuos Surge</x:v>
      </x:c>
      <x:c r="D641" s="31" t="str">
        <x:v>Virtuos Surge</x:v>
      </x:c>
      <x:c r="E641" s="31" t="str">
        <x:v>introduced_update</x:v>
      </x:c>
      <x:c r="F641" s="62" t="str"/>
      <x:c r="G641" s="62" t="str">
        <x:v>Update 24.2</x:v>
      </x:c>
      <x:c r="H641" s="62" t="str"/>
      <x:c r="I641" s="62" t="str">
        <x:v>NOT_REVIEWED</x:v>
      </x:c>
      <x:c r="J641" s="62" t="str"/>
    </x:row>
    <x:row r="642">
      <x:c r="A642" s="31" t="str">
        <x:v>ARC-0172</x:v>
      </x:c>
      <x:c r="B642" s="31" t="str">
        <x:v>P0</x:v>
      </x:c>
      <x:c r="C642" s="31" t="str">
        <x:v>Virtuos Surge</x:v>
      </x:c>
      <x:c r="D642" s="31" t="str">
        <x:v>Virtuos Surge</x:v>
      </x:c>
      <x:c r="E642" s="31" t="str">
        <x:v>effect_text</x:v>
      </x:c>
      <x:c r="F642" s="62" t="str"/>
      <x:c r="G642" s="62" t="str">
        <x:v>On Hit:\nConverts 98% &lt;DT_RADIANT_COLOR&gt;Void Damage to &lt;DT_ELECTRICITY_COLOR&gt;Electricity Damage.</x:v>
      </x:c>
      <x:c r="H642" s="62" t="str">
        <x:v>comparison=HEURISTIC_TEXT_ONLY</x:v>
      </x:c>
      <x:c r="I642" s="62" t="str">
        <x:v>NOT_REVIEWED</x:v>
      </x:c>
      <x:c r="J642" s="62" t="str"/>
    </x:row>
    <x:row r="643">
      <x:c r="A643" s="31" t="str">
        <x:v>ARC-0173</x:v>
      </x:c>
      <x:c r="B643" s="31" t="str">
        <x:v>P2</x:v>
      </x:c>
      <x:c r="C643" s="31" t="str">
        <x:v>Virtuos Tempo</x:v>
      </x:c>
      <x:c r="D643" s="31" t="str">
        <x:v>Virtuos Tempo</x:v>
      </x:c>
      <x:c r="E643" s="31" t="str">
        <x:v>unique_name</x:v>
      </x:c>
      <x:c r="F643" s="62" t="str"/>
      <x:c r="G643" s="62" t="str">
        <x:v>/Lotus/Upgrades/CosmeticEnhancers/OperatorAmps/AttackSpeedOnKill</x:v>
      </x:c>
      <x:c r="H643" s="62" t="str">
        <x:v>reason=MISSING_OR_DIFFERENT_STABLE_ID</x:v>
      </x:c>
      <x:c r="I643" s="62" t="str">
        <x:v>NOT_REVIEWED</x:v>
      </x:c>
      <x:c r="J643" s="62" t="str"/>
    </x:row>
    <x:row r="644">
      <x:c r="A644" s="31" t="str">
        <x:v>ARC-0173</x:v>
      </x:c>
      <x:c r="B644" s="31" t="str">
        <x:v>P2</x:v>
      </x:c>
      <x:c r="C644" s="31" t="str">
        <x:v>Virtuos Tempo</x:v>
      </x:c>
      <x:c r="D644" s="31" t="str">
        <x:v>Virtuos Tempo</x:v>
      </x:c>
      <x:c r="E644" s="31" t="str">
        <x:v>equipment_type</x:v>
      </x:c>
      <x:c r="F644" s="62" t="str"/>
      <x:c r="G644" s="62" t="str">
        <x:v>Amp Arcane</x:v>
      </x:c>
      <x:c r="H644" s="62" t="str">
        <x:v>legacy_subcategory=Virtuos; reason=EQUIPMENT_COMPATIBILITY_IS_SEPARATE_FROM_LEGACY_SUBCATEGORY</x:v>
      </x:c>
      <x:c r="I644" s="62" t="str">
        <x:v>NOT_REVIEWED</x:v>
      </x:c>
      <x:c r="J644" s="62" t="str"/>
    </x:row>
    <x:row r="645">
      <x:c r="A645" s="31" t="str">
        <x:v>ARC-0173</x:v>
      </x:c>
      <x:c r="B645" s="31" t="str">
        <x:v>P2</x:v>
      </x:c>
      <x:c r="C645" s="31" t="str">
        <x:v>Virtuos Tempo</x:v>
      </x:c>
      <x:c r="D645" s="31" t="str">
        <x:v>Virtuos Tempo</x:v>
      </x:c>
      <x:c r="E645" s="31" t="str">
        <x:v>introduced_update</x:v>
      </x:c>
      <x:c r="F645" s="62" t="str">
        <x:v>22.0</x:v>
      </x:c>
      <x:c r="G645" s="62" t="str">
        <x:v>Update 22.0</x:v>
      </x:c>
      <x:c r="H645" s="62" t="str"/>
      <x:c r="I645" s="62" t="str">
        <x:v>NOT_REVIEWED</x:v>
      </x:c>
      <x:c r="J645" s="62" t="str"/>
    </x:row>
    <x:row r="646">
      <x:c r="A646" s="31" t="str">
        <x:v>ARC-0173</x:v>
      </x:c>
      <x:c r="B646" s="31" t="str">
        <x:v>P2</x:v>
      </x:c>
      <x:c r="C646" s="31" t="str">
        <x:v>Virtuos Tempo</x:v>
      </x:c>
      <x:c r="D646" s="31" t="str">
        <x:v>Virtuos Tempo</x:v>
      </x:c>
      <x:c r="E646" s="31" t="str">
        <x:v>effect_text</x:v>
      </x:c>
      <x:c r="F646" s="62" t="str">
        <x:v>+30% Amp Fire Rate for 12s</x:v>
      </x:c>
      <x:c r="G646" s="62" t="str">
        <x:v>On Kill:\n60% chance for +60% Fire Rate for 8s</x:v>
      </x:c>
      <x:c r="H646" s="62" t="str">
        <x:v>comparison=HEURISTIC_TEXT_ONLY</x:v>
      </x:c>
      <x:c r="I646" s="62" t="str">
        <x:v>NOT_REVIEWED</x:v>
      </x:c>
      <x:c r="J646" s="62" t="str"/>
    </x:row>
    <x:row r="647">
      <x:c r="A647" s="31" t="str">
        <x:v>ARC-0174</x:v>
      </x:c>
      <x:c r="B647" s="31" t="str">
        <x:v>P0</x:v>
      </x:c>
      <x:c r="C647" s="31" t="str">
        <x:v>Virtuos Trojan</x:v>
      </x:c>
      <x:c r="D647" s="31" t="str">
        <x:v>Virtuos Trojan</x:v>
      </x:c>
      <x:c r="E647" s="31" t="str">
        <x:v>unique_name</x:v>
      </x:c>
      <x:c r="F647" s="62" t="str"/>
      <x:c r="G647" s="62" t="str">
        <x:v>/Lotus/Upgrades/CosmeticEnhancers/OperatorAmps/VoidToViralDamage</x:v>
      </x:c>
      <x:c r="H647" s="62" t="str">
        <x:v>reason=MISSING_OR_DIFFERENT_STABLE_ID</x:v>
      </x:c>
      <x:c r="I647" s="62" t="str">
        <x:v>NOT_REVIEWED</x:v>
      </x:c>
      <x:c r="J647" s="62" t="str"/>
    </x:row>
    <x:row r="648">
      <x:c r="A648" s="31" t="str">
        <x:v>ARC-0174</x:v>
      </x:c>
      <x:c r="B648" s="31" t="str">
        <x:v>P0</x:v>
      </x:c>
      <x:c r="C648" s="31" t="str">
        <x:v>Virtuos Trojan</x:v>
      </x:c>
      <x:c r="D648" s="31" t="str">
        <x:v>Virtuos Trojan</x:v>
      </x:c>
      <x:c r="E648" s="31" t="str">
        <x:v>equipment_type</x:v>
      </x:c>
      <x:c r="F648" s="62" t="str"/>
      <x:c r="G648" s="62" t="str">
        <x:v>Amp Arcane</x:v>
      </x:c>
      <x:c r="H648" s="62" t="str">
        <x:v>legacy_subcategory=; reason=EQUIPMENT_COMPATIBILITY_IS_SEPARATE_FROM_LEGACY_SUBCATEGORY</x:v>
      </x:c>
      <x:c r="I648" s="62" t="str">
        <x:v>NOT_REVIEWED</x:v>
      </x:c>
      <x:c r="J648" s="62" t="str"/>
    </x:row>
    <x:row r="649">
      <x:c r="A649" s="31" t="str">
        <x:v>ARC-0174</x:v>
      </x:c>
      <x:c r="B649" s="31" t="str">
        <x:v>P0</x:v>
      </x:c>
      <x:c r="C649" s="31" t="str">
        <x:v>Virtuos Trojan</x:v>
      </x:c>
      <x:c r="D649" s="31" t="str">
        <x:v>Virtuos Trojan</x:v>
      </x:c>
      <x:c r="E649" s="31" t="str">
        <x:v>max_rank</x:v>
      </x:c>
      <x:c r="F649" s="62" t="str">
        <x:v>5</x:v>
      </x:c>
      <x:c r="G649" s="62" t="str">
        <x:v>3</x:v>
      </x:c>
      <x:c r="H649" s="62" t="str"/>
      <x:c r="I649" s="62" t="str">
        <x:v>NOT_REVIEWED</x:v>
      </x:c>
      <x:c r="J649" s="62" t="str"/>
    </x:row>
    <x:row r="650">
      <x:c r="A650" s="31" t="str">
        <x:v>ARC-0174</x:v>
      </x:c>
      <x:c r="B650" s="31" t="str">
        <x:v>P0</x:v>
      </x:c>
      <x:c r="C650" s="31" t="str">
        <x:v>Virtuos Trojan</x:v>
      </x:c>
      <x:c r="D650" s="31" t="str">
        <x:v>Virtuos Trojan</x:v>
      </x:c>
      <x:c r="E650" s="31" t="str">
        <x:v>introduced_update</x:v>
      </x:c>
      <x:c r="F650" s="62" t="str"/>
      <x:c r="G650" s="62" t="str">
        <x:v>Update 24.2</x:v>
      </x:c>
      <x:c r="H650" s="62" t="str"/>
      <x:c r="I650" s="62" t="str">
        <x:v>NOT_REVIEWED</x:v>
      </x:c>
      <x:c r="J650" s="62" t="str"/>
    </x:row>
    <x:row r="651">
      <x:c r="A651" s="32" t="str">
        <x:v>ARC-0174</x:v>
      </x:c>
      <x:c r="B651" s="32" t="str">
        <x:v>P0</x:v>
      </x:c>
      <x:c r="C651" s="32" t="str">
        <x:v>Virtuos Trojan</x:v>
      </x:c>
      <x:c r="D651" s="32" t="str">
        <x:v>Virtuos Trojan</x:v>
      </x:c>
      <x:c r="E651" s="32" t="str">
        <x:v>effect_text</x:v>
      </x:c>
      <x:c r="F651" s="63" t="str"/>
      <x:c r="G651" s="63" t="str">
        <x:v>On Hit:\nConverts 98% &lt;DT_RADIANT_COLOR&gt;Void Damage to &lt;DT_VIRAL_COLOR&gt;Viral Damage.</x:v>
      </x:c>
      <x:c r="H651" s="63" t="str">
        <x:v>comparison=HEURISTIC_TEXT_ONLY</x:v>
      </x:c>
      <x:c r="I651" s="63" t="str">
        <x:v>NOT_REVIEWED</x:v>
      </x:c>
      <x:c r="J651" s="63" t="str"/>
    </x:row>
  </x:sheetData>
  <x:mergeCells>
    <x:mergeCell ref="A1:J2"/>
    <x:mergeCell ref="A3:J4"/>
  </x:mergeCells>
  <x:conditionalFormatting sqref="I8:I651">
    <x:cfRule type="containsText" dxfId="8" priority="1" operator="containsText" text="COMPLETE"/>
    <x:cfRule type="containsText" dxfId="9" priority="2" operator="containsText" text="OPEN"/>
    <x:cfRule type="containsText" dxfId="10" priority="3" operator="containsText" text="PENDING"/>
    <x:cfRule type="containsText" dxfId="11" priority="4" operator="containsText" text="NOT_STARTED"/>
  </x:conditionalFormatting>
  <x:dataValidations count="1">
    <x:dataValidation type="list" sqref="I8:I651">
      <x:formula1>"NOT_REVIEWED,USE_UPSTREAM,KEEP_GU,NOT_APPLICABLE,DEFER"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48a69b370240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4" hidden="0" customWidth="1"/>
    <x:col min="4" max="4" width="24" hidden="0" customWidth="1"/>
    <x:col min="5" max="5" width="16" hidden="0" customWidth="1"/>
    <x:col min="6" max="6" width="52" hidden="0" customWidth="1"/>
    <x:col min="7" max="7" width="18" hidden="0" customWidth="1"/>
    <x:col min="8" max="8" width="20" hidden="0" customWidth="1"/>
    <x:col min="9" max="9" width="28" hidden="0" customWidth="1"/>
    <x:col min="10" max="10" width="16" hidden="0" customWidth="1"/>
    <x:col min="11" max="11" width="20" hidden="0" customWidth="1"/>
    <x:col min="12" max="12" width="10" hidden="0" customWidth="1"/>
    <x:col min="13" max="13" width="14" hidden="0" customWidth="1"/>
    <x:col min="14" max="14" width="46" hidden="0" customWidth="1"/>
    <x:col min="15" max="15" width="46" hidden="0" customWidth="1"/>
    <x:col min="16" max="16" width="42" hidden="0" customWidth="1"/>
  </x:cols>
  <x:sheetData>
    <x:row r="1" ht="28" customHeight="1">
      <x:c r="A1" s="3" t="str">
        <x:v>FOCUSED IN-GAME CHECKS</x:v>
      </x:c>
      <x:c r="B1" s="3" t="str">
        <x:v>FOCUSED IN-GAME CHECKS</x:v>
      </x:c>
      <x:c r="C1" s="3" t="str">
        <x:v>FOCUSED IN-GAME CHECKS</x:v>
      </x:c>
      <x:c r="D1" s="3" t="str">
        <x:v>FOCUSED IN-GAME CHECKS</x:v>
      </x:c>
      <x:c r="E1" s="3" t="str">
        <x:v>FOCUSED IN-GAME CHECKS</x:v>
      </x:c>
      <x:c r="F1" s="3" t="str">
        <x:v>FOCUSED IN-GAME CHECKS</x:v>
      </x:c>
      <x:c r="G1" s="3" t="str">
        <x:v>FOCUSED IN-GAME CHECKS</x:v>
      </x:c>
      <x:c r="H1" s="3" t="str">
        <x:v>FOCUSED IN-GAME CHECKS</x:v>
      </x:c>
      <x:c r="I1" s="3" t="str">
        <x:v>FOCUSED IN-GAME CHECKS</x:v>
      </x:c>
      <x:c r="J1" s="3" t="str">
        <x:v>FOCUSED IN-GAME CHECKS</x:v>
      </x:c>
      <x:c r="K1" s="3" t="str">
        <x:v>FOCUSED IN-GAME CHECKS</x:v>
      </x:c>
      <x:c r="L1" s="3" t="str">
        <x:v>FOCUSED IN-GAME CHECKS</x:v>
      </x:c>
      <x:c r="M1" s="3" t="str">
        <x:v>FOCUSED IN-GAME CHECKS</x:v>
      </x:c>
      <x:c r="N1" s="3" t="str">
        <x:v>FOCUSED IN-GAME CHECKS</x:v>
      </x:c>
      <x:c r="O1" s="3" t="str">
        <x:v>FOCUSED IN-GAME CHECKS</x:v>
      </x:c>
      <x:c r="P1" s="3" t="str">
        <x:v>FOCUSED IN-GAME CHECKS</x:v>
      </x:c>
    </x:row>
    <x:row r="2" ht="28" customHeight="1">
      <x:c r="A2" s="3" t="str">
        <x:v>FOCUSED IN-GAME CHECKS</x:v>
      </x:c>
      <x:c r="B2" s="3" t="str">
        <x:v>FOCUSED IN-GAME CHECKS</x:v>
      </x:c>
      <x:c r="C2" s="3" t="str">
        <x:v>FOCUSED IN-GAME CHECKS</x:v>
      </x:c>
      <x:c r="D2" s="3" t="str">
        <x:v>FOCUSED IN-GAME CHECKS</x:v>
      </x:c>
      <x:c r="E2" s="3" t="str">
        <x:v>FOCUSED IN-GAME CHECKS</x:v>
      </x:c>
      <x:c r="F2" s="3" t="str">
        <x:v>FOCUSED IN-GAME CHECKS</x:v>
      </x:c>
      <x:c r="G2" s="3" t="str">
        <x:v>FOCUSED IN-GAME CHECKS</x:v>
      </x:c>
      <x:c r="H2" s="3" t="str">
        <x:v>FOCUSED IN-GAME CHECKS</x:v>
      </x:c>
      <x:c r="I2" s="3" t="str">
        <x:v>FOCUSED IN-GAME CHECKS</x:v>
      </x:c>
      <x:c r="J2" s="3" t="str">
        <x:v>FOCUSED IN-GAME CHECKS</x:v>
      </x:c>
      <x:c r="K2" s="3" t="str">
        <x:v>FOCUSED IN-GAME CHECKS</x:v>
      </x:c>
      <x:c r="L2" s="3" t="str">
        <x:v>FOCUSED IN-GAME CHECKS</x:v>
      </x:c>
      <x:c r="M2" s="3" t="str">
        <x:v>FOCUSED IN-GAME CHECKS</x:v>
      </x:c>
      <x:c r="N2" s="3" t="str">
        <x:v>FOCUSED IN-GAME CHECKS</x:v>
      </x:c>
      <x:c r="O2" s="3" t="str">
        <x:v>FOCUSED IN-GAME CHECKS</x:v>
      </x:c>
      <x:c r="P2" s="3" t="str">
        <x:v>FOCUSED IN-GAME CHECKS</x:v>
      </x:c>
    </x:row>
    <x:row r="3" ht="26" customHeight="1">
      <x:c r="A3" s="7" t="str">
        <x:v>Only these required exceptions should drive the first Warframe session. Fill exact displayed values and attach a screenshot path or link. Gameplay testing is optional unless UI text remains ambiguous.</x:v>
      </x:c>
      <x:c r="B3" s="7" t="str">
        <x:v>Only these required exceptions should drive the first Warframe session. Fill exact displayed values and attach a screenshot path or link. Gameplay testing is optional unless UI text remains ambiguous.</x:v>
      </x:c>
      <x:c r="C3" s="7" t="str">
        <x:v>Only these required exceptions should drive the first Warframe session. Fill exact displayed values and attach a screenshot path or link. Gameplay testing is optional unless UI text remains ambiguous.</x:v>
      </x:c>
      <x:c r="D3" s="7" t="str">
        <x:v>Only these required exceptions should drive the first Warframe session. Fill exact displayed values and attach a screenshot path or link. Gameplay testing is optional unless UI text remains ambiguous.</x:v>
      </x:c>
      <x:c r="E3" s="7" t="str">
        <x:v>Only these required exceptions should drive the first Warframe session. Fill exact displayed values and attach a screenshot path or link. Gameplay testing is optional unless UI text remains ambiguous.</x:v>
      </x:c>
      <x:c r="F3" s="7" t="str">
        <x:v>Only these required exceptions should drive the first Warframe session. Fill exact displayed values and attach a screenshot path or link. Gameplay testing is optional unless UI text remains ambiguous.</x:v>
      </x:c>
      <x:c r="G3" s="7" t="str">
        <x:v>Only these required exceptions should drive the first Warframe session. Fill exact displayed values and attach a screenshot path or link. Gameplay testing is optional unless UI text remains ambiguous.</x:v>
      </x:c>
      <x:c r="H3" s="7" t="str">
        <x:v>Only these required exceptions should drive the first Warframe session. Fill exact displayed values and attach a screenshot path or link. Gameplay testing is optional unless UI text remains ambiguous.</x:v>
      </x:c>
      <x:c r="I3" s="7" t="str">
        <x:v>Only these required exceptions should drive the first Warframe session. Fill exact displayed values and attach a screenshot path or link. Gameplay testing is optional unless UI text remains ambiguous.</x:v>
      </x:c>
      <x:c r="J3" s="7" t="str">
        <x:v>Only these required exceptions should drive the first Warframe session. Fill exact displayed values and attach a screenshot path or link. Gameplay testing is optional unless UI text remains ambiguous.</x:v>
      </x:c>
      <x:c r="K3" s="7" t="str">
        <x:v>Only these required exceptions should drive the first Warframe session. Fill exact displayed values and attach a screenshot path or link. Gameplay testing is optional unless UI text remains ambiguous.</x:v>
      </x:c>
      <x:c r="L3" s="7" t="str">
        <x:v>Only these required exceptions should drive the first Warframe session. Fill exact displayed values and attach a screenshot path or link. Gameplay testing is optional unless UI text remains ambiguous.</x:v>
      </x:c>
      <x:c r="M3" s="7" t="str">
        <x:v>Only these required exceptions should drive the first Warframe session. Fill exact displayed values and attach a screenshot path or link. Gameplay testing is optional unless UI text remains ambiguous.</x:v>
      </x:c>
      <x:c r="N3" s="7" t="str">
        <x:v>Only these required exceptions should drive the first Warframe session. Fill exact displayed values and attach a screenshot path or link. Gameplay testing is optional unless UI text remains ambiguous.</x:v>
      </x:c>
      <x:c r="O3" s="7" t="str">
        <x:v>Only these required exceptions should drive the first Warframe session. Fill exact displayed values and attach a screenshot path or link. Gameplay testing is optional unless UI text remains ambiguous.</x:v>
      </x:c>
      <x:c r="P3" s="7" t="str">
        <x:v>Only these required exceptions should drive the first Warframe session. Fill exact displayed values and attach a screenshot path or link. Gameplay testing is optional unless UI text remains ambiguous.</x:v>
      </x:c>
    </x:row>
    <x:row r="4" ht="26" customHeight="1">
      <x:c r="A4" s="7" t="str">
        <x:v>Only these required exceptions should drive the first Warframe session. Fill exact displayed values and attach a screenshot path or link. Gameplay testing is optional unless UI text remains ambiguous.</x:v>
      </x:c>
      <x:c r="B4" s="7" t="str">
        <x:v>Only these required exceptions should drive the first Warframe session. Fill exact displayed values and attach a screenshot path or link. Gameplay testing is optional unless UI text remains ambiguous.</x:v>
      </x:c>
      <x:c r="C4" s="7" t="str">
        <x:v>Only these required exceptions should drive the first Warframe session. Fill exact displayed values and attach a screenshot path or link. Gameplay testing is optional unless UI text remains ambiguous.</x:v>
      </x:c>
      <x:c r="D4" s="7" t="str">
        <x:v>Only these required exceptions should drive the first Warframe session. Fill exact displayed values and attach a screenshot path or link. Gameplay testing is optional unless UI text remains ambiguous.</x:v>
      </x:c>
      <x:c r="E4" s="7" t="str">
        <x:v>Only these required exceptions should drive the first Warframe session. Fill exact displayed values and attach a screenshot path or link. Gameplay testing is optional unless UI text remains ambiguous.</x:v>
      </x:c>
      <x:c r="F4" s="7" t="str">
        <x:v>Only these required exceptions should drive the first Warframe session. Fill exact displayed values and attach a screenshot path or link. Gameplay testing is optional unless UI text remains ambiguous.</x:v>
      </x:c>
      <x:c r="G4" s="7" t="str">
        <x:v>Only these required exceptions should drive the first Warframe session. Fill exact displayed values and attach a screenshot path or link. Gameplay testing is optional unless UI text remains ambiguous.</x:v>
      </x:c>
      <x:c r="H4" s="7" t="str">
        <x:v>Only these required exceptions should drive the first Warframe session. Fill exact displayed values and attach a screenshot path or link. Gameplay testing is optional unless UI text remains ambiguous.</x:v>
      </x:c>
      <x:c r="I4" s="7" t="str">
        <x:v>Only these required exceptions should drive the first Warframe session. Fill exact displayed values and attach a screenshot path or link. Gameplay testing is optional unless UI text remains ambiguous.</x:v>
      </x:c>
      <x:c r="J4" s="7" t="str">
        <x:v>Only these required exceptions should drive the first Warframe session. Fill exact displayed values and attach a screenshot path or link. Gameplay testing is optional unless UI text remains ambiguous.</x:v>
      </x:c>
      <x:c r="K4" s="7" t="str">
        <x:v>Only these required exceptions should drive the first Warframe session. Fill exact displayed values and attach a screenshot path or link. Gameplay testing is optional unless UI text remains ambiguous.</x:v>
      </x:c>
      <x:c r="L4" s="7" t="str">
        <x:v>Only these required exceptions should drive the first Warframe session. Fill exact displayed values and attach a screenshot path or link. Gameplay testing is optional unless UI text remains ambiguous.</x:v>
      </x:c>
      <x:c r="M4" s="7" t="str">
        <x:v>Only these required exceptions should drive the first Warframe session. Fill exact displayed values and attach a screenshot path or link. Gameplay testing is optional unless UI text remains ambiguous.</x:v>
      </x:c>
      <x:c r="N4" s="7" t="str">
        <x:v>Only these required exceptions should drive the first Warframe session. Fill exact displayed values and attach a screenshot path or link. Gameplay testing is optional unless UI text remains ambiguous.</x:v>
      </x:c>
      <x:c r="O4" s="7" t="str">
        <x:v>Only these required exceptions should drive the first Warframe session. Fill exact displayed values and attach a screenshot path or link. Gameplay testing is optional unless UI text remains ambiguous.</x:v>
      </x:c>
      <x:c r="P4" s="7" t="str">
        <x:v>Only these required exceptions should drive the first Warframe session. Fill exact displayed values and attach a screenshot path or link. Gameplay testing is optional unless UI text remains ambiguous.</x:v>
      </x:c>
    </x:row>
    <x:row r="7" ht="34" customHeight="1">
      <x:c r="A7" s="22" t="str">
        <x:v>Review ID</x:v>
      </x:c>
      <x:c r="B7" s="23" t="str">
        <x:v>Priority</x:v>
      </x:c>
      <x:c r="C7" s="23" t="str">
        <x:v>Gu Name</x:v>
      </x:c>
      <x:c r="D7" s="23" t="str">
        <x:v>WFCD Name</x:v>
      </x:c>
      <x:c r="E7" s="23" t="str">
        <x:v>Bucket</x:v>
      </x:c>
      <x:c r="F7" s="23" t="str">
        <x:v>Why Check</x:v>
      </x:c>
      <x:c r="G7" s="23" t="str">
        <x:v>Game Build / Date</x:v>
      </x:c>
      <x:c r="H7" s="23" t="str">
        <x:v>Check Status</x:v>
      </x:c>
      <x:c r="I7" s="23" t="str">
        <x:v>Exact Displayed Name</x:v>
      </x:c>
      <x:c r="J7" s="23" t="str">
        <x:v>Player-Facing?</x:v>
      </x:c>
      <x:c r="K7" s="23" t="str">
        <x:v>Equipment Type</x:v>
      </x:c>
      <x:c r="L7" s="23" t="str">
        <x:v>Max Rank</x:v>
      </x:c>
      <x:c r="M7" s="23" t="str">
        <x:v>Rarity</x:v>
      </x:c>
      <x:c r="N7" s="23" t="str">
        <x:v>Rank 0 Text</x:v>
      </x:c>
      <x:c r="O7" s="23" t="str">
        <x:v>Max Rank Text</x:v>
      </x:c>
      <x:c r="P7" s="24" t="str">
        <x:v>Screenshot / Evidence</x:v>
      </x:c>
    </x:row>
    <x:row r="8">
      <x:c r="A8" s="30" t="str">
        <x:v>ARC-0001</x:v>
      </x:c>
      <x:c r="B8" s="30" t="str">
        <x:v>P0</x:v>
      </x:c>
      <x:c r="C8" s="30" t="str">
        <x:v>Arcane Steadfast</x:v>
      </x:c>
      <x:c r="D8" s="30" t="str"/>
      <x:c r="E8" s="30" t="str">
        <x:v>MANUAL_REVIEW</x:v>
      </x:c>
      <x:c r="F8" s="61" t="str">
        <x:v>Confirm the single player-facing Arcane and approve an explicit internal-record grouping or representative stable ID.</x:v>
      </x:c>
      <x:c r="G8" s="61" t="str"/>
      <x:c r="H8" s="61" t="str">
        <x:v>NOT_CHECKED</x:v>
      </x:c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</x:row>
    <x:row r="9">
      <x:c r="A9" s="31" t="str">
        <x:v>ARC-0002</x:v>
      </x:c>
      <x:c r="B9" s="31" t="str">
        <x:v>P1</x:v>
      </x:c>
      <x:c r="C9" s="31" t="str"/>
      <x:c r="D9" s="31" t="str">
        <x:v>Arcane Defense</x:v>
      </x:c>
      <x:c r="E9" s="31" t="str">
        <x:v>GU_MISSING</x:v>
      </x:c>
      <x:c r="F9" s="62" t="str">
        <x:v>Verify the upstream entity is player-facing and belongs in Gu before adding a canonical row.</x:v>
      </x:c>
      <x:c r="G9" s="62" t="str"/>
      <x:c r="H9" s="62" t="str">
        <x:v>NOT_CHECKED</x:v>
      </x:c>
      <x:c r="I9" s="62" t="str"/>
      <x:c r="J9" s="62" t="str"/>
      <x:c r="K9" s="62" t="str"/>
      <x:c r="L9" s="62" t="str"/>
      <x:c r="M9" s="62" t="str"/>
      <x:c r="N9" s="62" t="str"/>
      <x:c r="O9" s="62" t="str"/>
      <x:c r="P9" s="62" t="str"/>
    </x:row>
    <x:row r="10">
      <x:c r="A10" s="31" t="str">
        <x:v>ARC-0003</x:v>
      </x:c>
      <x:c r="B10" s="31" t="str">
        <x:v>P1</x:v>
      </x:c>
      <x:c r="C10" s="31" t="str"/>
      <x:c r="D10" s="31" t="str">
        <x:v>Arcane Detoxifier</x:v>
      </x:c>
      <x:c r="E10" s="31" t="str">
        <x:v>GU_MISSING</x:v>
      </x:c>
      <x:c r="F10" s="62" t="str">
        <x:v>Verify the upstream entity is player-facing and belongs in Gu before adding a canonical row.</x:v>
      </x:c>
      <x:c r="G10" s="62" t="str"/>
      <x:c r="H10" s="62" t="str">
        <x:v>NOT_CHECKED</x:v>
      </x:c>
      <x:c r="I10" s="62" t="str"/>
      <x:c r="J10" s="62" t="str"/>
      <x:c r="K10" s="62" t="str"/>
      <x:c r="L10" s="62" t="str"/>
      <x:c r="M10" s="62" t="str"/>
      <x:c r="N10" s="62" t="str"/>
      <x:c r="O10" s="62" t="str"/>
      <x:c r="P10" s="62" t="str"/>
    </x:row>
    <x:row r="11">
      <x:c r="A11" s="31" t="str">
        <x:v>ARC-0004</x:v>
      </x:c>
      <x:c r="B11" s="31" t="str">
        <x:v>P1</x:v>
      </x:c>
      <x:c r="C11" s="31" t="str"/>
      <x:c r="D11" s="31" t="str">
        <x:v>Arcane Ice Storm</x:v>
      </x:c>
      <x:c r="E11" s="31" t="str">
        <x:v>GU_MISSING</x:v>
      </x:c>
      <x:c r="F11" s="62" t="str">
        <x:v>Verify the upstream entity is player-facing and belongs in Gu before adding a canonical row.</x:v>
      </x:c>
      <x:c r="G11" s="62" t="str"/>
      <x:c r="H11" s="62" t="str">
        <x:v>NOT_CHECKED</x:v>
      </x:c>
      <x:c r="I11" s="62" t="str"/>
      <x:c r="J11" s="62" t="str"/>
      <x:c r="K11" s="62" t="str"/>
      <x:c r="L11" s="62" t="str"/>
      <x:c r="M11" s="62" t="str"/>
      <x:c r="N11" s="62" t="str"/>
      <x:c r="O11" s="62" t="str"/>
      <x:c r="P11" s="62" t="str"/>
    </x:row>
    <x:row r="12">
      <x:c r="A12" s="31" t="str">
        <x:v>ARC-0005</x:v>
      </x:c>
      <x:c r="B12" s="31" t="str">
        <x:v>P1</x:v>
      </x:c>
      <x:c r="C12" s="31" t="str"/>
      <x:c r="D12" s="31" t="str">
        <x:v>Arcane Liquid</x:v>
      </x:c>
      <x:c r="E12" s="31" t="str">
        <x:v>GU_MISSING</x:v>
      </x:c>
      <x:c r="F12" s="62" t="str">
        <x:v>Verify the upstream entity is player-facing and belongs in Gu before adding a canonical row.</x:v>
      </x:c>
      <x:c r="G12" s="62" t="str"/>
      <x:c r="H12" s="62" t="str">
        <x:v>NOT_CHECKED</x:v>
      </x:c>
      <x:c r="I12" s="62" t="str"/>
      <x:c r="J12" s="62" t="str"/>
      <x:c r="K12" s="62" t="str"/>
      <x:c r="L12" s="62" t="str"/>
      <x:c r="M12" s="62" t="str"/>
      <x:c r="N12" s="62" t="str"/>
      <x:c r="O12" s="62" t="str"/>
      <x:c r="P12" s="62" t="str"/>
    </x:row>
    <x:row r="13">
      <x:c r="A13" s="31" t="str">
        <x:v>ARC-0006</x:v>
      </x:c>
      <x:c r="B13" s="31" t="str">
        <x:v>P1</x:v>
      </x:c>
      <x:c r="C13" s="31" t="str"/>
      <x:c r="D13" s="31" t="str">
        <x:v>Arcane Protection</x:v>
      </x:c>
      <x:c r="E13" s="31" t="str">
        <x:v>GU_MISSING</x:v>
      </x:c>
      <x:c r="F13" s="62" t="str">
        <x:v>Verify the upstream entity is player-facing and belongs in Gu before adding a canonical row.</x:v>
      </x:c>
      <x:c r="G13" s="62" t="str"/>
      <x:c r="H13" s="62" t="str">
        <x:v>NOT_CHECKED</x:v>
      </x:c>
      <x:c r="I13" s="62" t="str"/>
      <x:c r="J13" s="62" t="str"/>
      <x:c r="K13" s="62" t="str"/>
      <x:c r="L13" s="62" t="str"/>
      <x:c r="M13" s="62" t="str"/>
      <x:c r="N13" s="62" t="str"/>
      <x:c r="O13" s="62" t="str"/>
      <x:c r="P13" s="62" t="str"/>
    </x:row>
    <x:row r="14">
      <x:c r="A14" s="31" t="str">
        <x:v>ARC-0007</x:v>
      </x:c>
      <x:c r="B14" s="31" t="str">
        <x:v>P1</x:v>
      </x:c>
      <x:c r="C14" s="31" t="str"/>
      <x:c r="D14" s="31" t="str">
        <x:v>Arcane Sculptor</x:v>
      </x:c>
      <x:c r="E14" s="31" t="str">
        <x:v>GU_MISSING</x:v>
      </x:c>
      <x:c r="F14" s="62" t="str">
        <x:v>Verify the upstream entity is player-facing and belongs in Gu before adding a canonical row.</x:v>
      </x:c>
      <x:c r="G14" s="62" t="str"/>
      <x:c r="H14" s="62" t="str">
        <x:v>NOT_CHECKED</x:v>
      </x:c>
      <x:c r="I14" s="62" t="str"/>
      <x:c r="J14" s="62" t="str"/>
      <x:c r="K14" s="62" t="str"/>
      <x:c r="L14" s="62" t="str"/>
      <x:c r="M14" s="62" t="str"/>
      <x:c r="N14" s="62" t="str"/>
      <x:c r="O14" s="62" t="str"/>
      <x:c r="P14" s="62" t="str"/>
    </x:row>
    <x:row r="15">
      <x:c r="A15" s="31" t="str">
        <x:v>ARC-0008</x:v>
      </x:c>
      <x:c r="B15" s="31" t="str">
        <x:v>P1</x:v>
      </x:c>
      <x:c r="C15" s="31" t="str"/>
      <x:c r="D15" s="31" t="str">
        <x:v>Arcane Shield</x:v>
      </x:c>
      <x:c r="E15" s="31" t="str">
        <x:v>GU_MISSING</x:v>
      </x:c>
      <x:c r="F15" s="62" t="str">
        <x:v>Verify the upstream entity is player-facing and belongs in Gu before adding a canonical row.</x:v>
      </x:c>
      <x:c r="G15" s="62" t="str"/>
      <x:c r="H15" s="62" t="str">
        <x:v>NOT_CHECKED</x:v>
      </x:c>
      <x:c r="I15" s="62" t="str"/>
      <x:c r="J15" s="62" t="str"/>
      <x:c r="K15" s="62" t="str"/>
      <x:c r="L15" s="62" t="str"/>
      <x:c r="M15" s="62" t="str"/>
      <x:c r="N15" s="62" t="str"/>
      <x:c r="O15" s="62" t="str"/>
      <x:c r="P15" s="62" t="str"/>
    </x:row>
    <x:row r="16">
      <x:c r="A16" s="31" t="str">
        <x:v>ARC-0009</x:v>
      </x:c>
      <x:c r="B16" s="31" t="str">
        <x:v>P1</x:v>
      </x:c>
      <x:c r="C16" s="31" t="str"/>
      <x:c r="D16" s="31" t="str">
        <x:v>Arcane Survival</x:v>
      </x:c>
      <x:c r="E16" s="31" t="str">
        <x:v>GU_MISSING</x:v>
      </x:c>
      <x:c r="F16" s="62" t="str">
        <x:v>Verify the upstream entity is player-facing and belongs in Gu before adding a canonical row.</x:v>
      </x:c>
      <x:c r="G16" s="62" t="str"/>
      <x:c r="H16" s="62" t="str">
        <x:v>NOT_CHECKED</x:v>
      </x:c>
      <x:c r="I16" s="62" t="str"/>
      <x:c r="J16" s="62" t="str"/>
      <x:c r="K16" s="62" t="str"/>
      <x:c r="L16" s="62" t="str"/>
      <x:c r="M16" s="62" t="str"/>
      <x:c r="N16" s="62" t="str"/>
      <x:c r="O16" s="62" t="str"/>
      <x:c r="P16" s="62" t="str"/>
    </x:row>
    <x:row r="17">
      <x:c r="A17" s="31" t="str">
        <x:v>ARC-0010</x:v>
      </x:c>
      <x:c r="B17" s="31" t="str">
        <x:v>P1</x:v>
      </x:c>
      <x:c r="C17" s="31" t="str"/>
      <x:c r="D17" s="31" t="str">
        <x:v>Arcane Temperance</x:v>
      </x:c>
      <x:c r="E17" s="31" t="str">
        <x:v>GU_MISSING</x:v>
      </x:c>
      <x:c r="F17" s="62" t="str">
        <x:v>Verify the upstream entity is player-facing and belongs in Gu before adding a canonical row.</x:v>
      </x:c>
      <x:c r="G17" s="62" t="str"/>
      <x:c r="H17" s="62" t="str">
        <x:v>NOT_CHECKED</x:v>
      </x:c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</x:row>
    <x:row r="18">
      <x:c r="A18" s="31" t="str">
        <x:v>ARC-0011</x:v>
      </x:c>
      <x:c r="B18" s="31" t="str">
        <x:v>P0</x:v>
      </x:c>
      <x:c r="C18" s="31" t="str"/>
      <x:c r="D18" s="31" t="str">
        <x:v>Arcane Truculence</x:v>
      </x:c>
      <x:c r="E18" s="31" t="str">
        <x:v>GU_MISSING</x:v>
      </x:c>
      <x:c r="F18" s="62" t="str">
        <x:v>Confirm current spelling and identity; approve an alias only with direct evidence.</x:v>
      </x:c>
      <x:c r="G18" s="62" t="str"/>
      <x:c r="H18" s="62" t="str">
        <x:v>NOT_CHECKED</x:v>
      </x:c>
      <x:c r="I18" s="62" t="str"/>
      <x:c r="J18" s="62" t="str"/>
      <x:c r="K18" s="62" t="str"/>
      <x:c r="L18" s="62" t="str"/>
      <x:c r="M18" s="62" t="str"/>
      <x:c r="N18" s="62" t="str"/>
      <x:c r="O18" s="62" t="str"/>
      <x:c r="P18" s="62" t="str"/>
    </x:row>
    <x:row r="19">
      <x:c r="A19" s="31" t="str">
        <x:v>ARC-0012</x:v>
      </x:c>
      <x:c r="B19" s="31" t="str">
        <x:v>P1</x:v>
      </x:c>
      <x:c r="C19" s="31" t="str"/>
      <x:c r="D19" s="31" t="str">
        <x:v>Melee Assimilation</x:v>
      </x:c>
      <x:c r="E19" s="31" t="str">
        <x:v>GU_MISSING</x:v>
      </x:c>
      <x:c r="F19" s="62" t="str">
        <x:v>Verify the upstream entity is player-facing and belongs in Gu before adding a canonical row.</x:v>
      </x:c>
      <x:c r="G19" s="62" t="str"/>
      <x:c r="H19" s="62" t="str">
        <x:v>NOT_CHECKED</x:v>
      </x:c>
      <x:c r="I19" s="62" t="str"/>
      <x:c r="J19" s="62" t="str"/>
      <x:c r="K19" s="62" t="str"/>
      <x:c r="L19" s="62" t="str"/>
      <x:c r="M19" s="62" t="str"/>
      <x:c r="N19" s="62" t="str"/>
      <x:c r="O19" s="62" t="str"/>
      <x:c r="P19" s="62" t="str"/>
    </x:row>
    <x:row r="20">
      <x:c r="A20" s="31" t="str">
        <x:v>ARC-0013</x:v>
      </x:c>
      <x:c r="B20" s="31" t="str">
        <x:v>P1</x:v>
      </x:c>
      <x:c r="C20" s="31" t="str"/>
      <x:c r="D20" s="31" t="str">
        <x:v>Primary Compression</x:v>
      </x:c>
      <x:c r="E20" s="31" t="str">
        <x:v>GU_MISSING</x:v>
      </x:c>
      <x:c r="F20" s="62" t="str">
        <x:v>Verify the upstream entity is player-facing and belongs in Gu before adding a canonical row.</x:v>
      </x:c>
      <x:c r="G20" s="62" t="str"/>
      <x:c r="H20" s="62" t="str">
        <x:v>NOT_CHECKED</x:v>
      </x:c>
      <x:c r="I20" s="62" t="str"/>
      <x:c r="J20" s="62" t="str"/>
      <x:c r="K20" s="62" t="str"/>
      <x:c r="L20" s="62" t="str"/>
      <x:c r="M20" s="62" t="str"/>
      <x:c r="N20" s="62" t="str"/>
      <x:c r="O20" s="62" t="str"/>
      <x:c r="P20" s="62" t="str"/>
    </x:row>
    <x:row r="21">
      <x:c r="A21" s="31" t="str">
        <x:v>ARC-0014</x:v>
      </x:c>
      <x:c r="B21" s="31" t="str">
        <x:v>P1</x:v>
      </x:c>
      <x:c r="C21" s="31" t="str"/>
      <x:c r="D21" s="31" t="str">
        <x:v>Secondary Cryogenic</x:v>
      </x:c>
      <x:c r="E21" s="31" t="str">
        <x:v>GU_MISSING</x:v>
      </x:c>
      <x:c r="F21" s="62" t="str">
        <x:v>Verify the upstream entity is player-facing and belongs in Gu before adding a canonical row.</x:v>
      </x:c>
      <x:c r="G21" s="62" t="str"/>
      <x:c r="H21" s="62" t="str">
        <x:v>NOT_CHECKED</x:v>
      </x:c>
      <x:c r="I21" s="62" t="str"/>
      <x:c r="J21" s="62" t="str"/>
      <x:c r="K21" s="62" t="str"/>
      <x:c r="L21" s="62" t="str"/>
      <x:c r="M21" s="62" t="str"/>
      <x:c r="N21" s="62" t="str"/>
      <x:c r="O21" s="62" t="str"/>
      <x:c r="P21" s="62" t="str"/>
    </x:row>
    <x:row r="22">
      <x:c r="A22" s="31" t="str">
        <x:v>ARC-0015</x:v>
      </x:c>
      <x:c r="B22" s="31" t="str">
        <x:v>P0</x:v>
      </x:c>
      <x:c r="C22" s="31" t="str">
        <x:v>Arcane Trunculence</x:v>
      </x:c>
      <x:c r="D22" s="31" t="str"/>
      <x:c r="E22" s="31" t="str">
        <x:v>GU_EXTRA</x:v>
      </x:c>
      <x:c r="F22" s="62" t="str">
        <x:v>Confirm current spelling and identity; approve an alias only with direct evidence.</x:v>
      </x:c>
      <x:c r="G22" s="62" t="str"/>
      <x:c r="H22" s="62" t="str">
        <x:v>NOT_CHECKED</x:v>
      </x:c>
      <x:c r="I22" s="62" t="str"/>
      <x:c r="J22" s="62" t="str"/>
      <x:c r="K22" s="62" t="str"/>
      <x:c r="L22" s="62" t="str"/>
      <x:c r="M22" s="62" t="str"/>
      <x:c r="N22" s="62" t="str"/>
      <x:c r="O22" s="62" t="str"/>
      <x:c r="P22" s="62" t="str"/>
    </x:row>
    <x:row r="23">
      <x:c r="A23" s="31" t="str">
        <x:v>ARC-0016</x:v>
      </x:c>
      <x:c r="B23" s="31" t="str">
        <x:v>P1</x:v>
      </x:c>
      <x:c r="C23" s="31" t="str">
        <x:v>Zid-An Haras</x:v>
      </x:c>
      <x:c r="D23" s="31" t="str"/>
      <x:c r="E23" s="31" t="str">
        <x:v>GU_EXTRA</x:v>
      </x:c>
      <x:c r="F23" s="62" t="str">
        <x:v>Verify whether the Gu row is current, renamed, deprecated, or belongs to another family.</x:v>
      </x:c>
      <x:c r="G23" s="62" t="str"/>
      <x:c r="H23" s="62" t="str">
        <x:v>NOT_CHECKED</x:v>
      </x:c>
      <x:c r="I23" s="62" t="str"/>
      <x:c r="J23" s="62" t="str"/>
      <x:c r="K23" s="62" t="str"/>
      <x:c r="L23" s="62" t="str"/>
      <x:c r="M23" s="62" t="str"/>
      <x:c r="N23" s="62" t="str"/>
      <x:c r="O23" s="62" t="str"/>
      <x:c r="P23" s="62" t="str"/>
    </x:row>
    <x:row r="24">
      <x:c r="A24" s="31" t="str">
        <x:v>ARC-0017</x:v>
      </x:c>
      <x:c r="B24" s="31" t="str">
        <x:v>P1</x:v>
      </x:c>
      <x:c r="C24" s="31" t="str">
        <x:v>Zid-An Osbok</x:v>
      </x:c>
      <x:c r="D24" s="31" t="str"/>
      <x:c r="E24" s="31" t="str">
        <x:v>GU_EXTRA</x:v>
      </x:c>
      <x:c r="F24" s="62" t="str">
        <x:v>Verify whether the Gu row is current, renamed, deprecated, or belongs to another family.</x:v>
      </x:c>
      <x:c r="G24" s="62" t="str"/>
      <x:c r="H24" s="62" t="str">
        <x:v>NOT_CHECKED</x:v>
      </x:c>
      <x:c r="I24" s="62" t="str"/>
      <x:c r="J24" s="62" t="str"/>
      <x:c r="K24" s="62" t="str"/>
      <x:c r="L24" s="62" t="str"/>
      <x:c r="M24" s="62" t="str"/>
      <x:c r="N24" s="62" t="str"/>
      <x:c r="O24" s="62" t="str"/>
      <x:c r="P24" s="62" t="str"/>
    </x:row>
    <x:row r="25">
      <x:c r="A25" s="31" t="str">
        <x:v>ARC-0018</x:v>
      </x:c>
      <x:c r="B25" s="31" t="str">
        <x:v>P1</x:v>
      </x:c>
      <x:c r="C25" s="31" t="str">
        <x:v>Zid-An Sek-Eel</x:v>
      </x:c>
      <x:c r="D25" s="31" t="str"/>
      <x:c r="E25" s="31" t="str">
        <x:v>GU_EXTRA</x:v>
      </x:c>
      <x:c r="F25" s="62" t="str">
        <x:v>Verify whether the Gu row is current, renamed, deprecated, or belongs to another family.</x:v>
      </x:c>
      <x:c r="G25" s="62" t="str"/>
      <x:c r="H25" s="62" t="str">
        <x:v>NOT_CHECKED</x:v>
      </x:c>
      <x:c r="I25" s="62" t="str"/>
      <x:c r="J25" s="62" t="str"/>
      <x:c r="K25" s="62" t="str"/>
      <x:c r="L25" s="62" t="str"/>
      <x:c r="M25" s="62" t="str"/>
      <x:c r="N25" s="62" t="str"/>
      <x:c r="O25" s="62" t="str"/>
      <x:c r="P25" s="62" t="str"/>
    </x:row>
    <x:row r="26">
      <x:c r="A26" s="31" t="str">
        <x:v>ARC-0019</x:v>
      </x:c>
      <x:c r="B26" s="31" t="str">
        <x:v>P1</x:v>
      </x:c>
      <x:c r="C26" s="31" t="str">
        <x:v>Zid-An Uskos</x:v>
      </x:c>
      <x:c r="D26" s="31" t="str"/>
      <x:c r="E26" s="31" t="str">
        <x:v>GU_EXTRA</x:v>
      </x:c>
      <x:c r="F26" s="62" t="str">
        <x:v>Verify whether the Gu row is current, renamed, deprecated, or belongs to another family.</x:v>
      </x:c>
      <x:c r="G26" s="62" t="str"/>
      <x:c r="H26" s="62" t="str">
        <x:v>NOT_CHECKED</x:v>
      </x:c>
      <x:c r="I26" s="62" t="str"/>
      <x:c r="J26" s="62" t="str"/>
      <x:c r="K26" s="62" t="str"/>
      <x:c r="L26" s="62" t="str"/>
      <x:c r="M26" s="62" t="str"/>
      <x:c r="N26" s="62" t="str"/>
      <x:c r="O26" s="62" t="str"/>
      <x:c r="P26" s="62" t="str"/>
    </x:row>
    <x:row r="27">
      <x:c r="A27" s="31" t="str">
        <x:v>ARC-0020</x:v>
      </x:c>
      <x:c r="B27" s="31" t="str">
        <x:v>P1</x:v>
      </x:c>
      <x:c r="C27" s="31" t="str">
        <x:v>Zid-An-Asheir</x:v>
      </x:c>
      <x:c r="D27" s="31" t="str"/>
      <x:c r="E27" s="31" t="str">
        <x:v>GU_EXTRA</x:v>
      </x:c>
      <x:c r="F27" s="62" t="str">
        <x:v>Verify whether the Gu row is current, renamed, deprecated, or belongs to another family.</x:v>
      </x:c>
      <x:c r="G27" s="62" t="str"/>
      <x:c r="H27" s="62" t="str">
        <x:v>NOT_CHECKED</x:v>
      </x:c>
      <x:c r="I27" s="62" t="str"/>
      <x:c r="J27" s="62" t="str"/>
      <x:c r="K27" s="62" t="str"/>
      <x:c r="L27" s="62" t="str"/>
      <x:c r="M27" s="62" t="str"/>
      <x:c r="N27" s="62" t="str"/>
      <x:c r="O27" s="62" t="str"/>
      <x:c r="P27" s="62" t="str"/>
    </x:row>
    <x:row r="28">
      <x:c r="A28" s="31" t="str">
        <x:v>ARC-0023</x:v>
      </x:c>
      <x:c r="B28" s="31" t="str">
        <x:v>P0</x:v>
      </x:c>
      <x:c r="C28" s="31" t="str">
        <x:v>Arcane Aegis</x:v>
      </x:c>
      <x:c r="D28" s="31" t="str">
        <x:v>Arcane Aegis</x:v>
      </x:c>
      <x:c r="E28" s="31" t="str">
        <x:v>VALUE_MISMATCH</x:v>
      </x:c>
      <x:c r="F28" s="62" t="str">
        <x:v>Compare Gu and current in-game effect text; choose upstream, retain Gu, or defer.</x:v>
      </x:c>
      <x:c r="G28" s="62" t="str"/>
      <x:c r="H28" s="62" t="str">
        <x:v>NOT_CHECKED</x:v>
      </x:c>
      <x:c r="I28" s="62" t="str"/>
      <x:c r="J28" s="62" t="str"/>
      <x:c r="K28" s="62" t="str"/>
      <x:c r="L28" s="62" t="str"/>
      <x:c r="M28" s="62" t="str"/>
      <x:c r="N28" s="62" t="str"/>
      <x:c r="O28" s="62" t="str"/>
      <x:c r="P28" s="62" t="str"/>
    </x:row>
    <x:row r="29">
      <x:c r="A29" s="31" t="str">
        <x:v>ARC-0029</x:v>
      </x:c>
      <x:c r="B29" s="31" t="str">
        <x:v>P0</x:v>
      </x:c>
      <x:c r="C29" s="31" t="str">
        <x:v>Arcane Battery</x:v>
      </x:c>
      <x:c r="D29" s="31" t="str">
        <x:v>Arcane Battery</x:v>
      </x:c>
      <x:c r="E29" s="31" t="str">
        <x:v>VALUE_MISMATCH</x:v>
      </x:c>
      <x:c r="F29" s="62" t="str">
        <x:v>Compare Gu and current in-game effect text; choose upstream, retain Gu, or defer.</x:v>
      </x:c>
      <x:c r="G29" s="62" t="str"/>
      <x:c r="H29" s="62" t="str">
        <x:v>NOT_CHECKED</x:v>
      </x:c>
      <x:c r="I29" s="62" t="str"/>
      <x:c r="J29" s="62" t="str"/>
      <x:c r="K29" s="62" t="str"/>
      <x:c r="L29" s="62" t="str"/>
      <x:c r="M29" s="62" t="str"/>
      <x:c r="N29" s="62" t="str"/>
      <x:c r="O29" s="62" t="str"/>
      <x:c r="P29" s="62" t="str"/>
    </x:row>
    <x:row r="30">
      <x:c r="A30" s="31" t="str">
        <x:v>ARC-0030</x:v>
      </x:c>
      <x:c r="B30" s="31" t="str">
        <x:v>P0</x:v>
      </x:c>
      <x:c r="C30" s="31" t="str">
        <x:v>Arcane Bellicose</x:v>
      </x:c>
      <x:c r="D30" s="31" t="str">
        <x:v>Arcane Bellicose</x:v>
      </x:c>
      <x:c r="E30" s="31" t="str">
        <x:v>VALUE_MISMATCH</x:v>
      </x:c>
      <x:c r="F30" s="62" t="str">
        <x:v>Compare Gu and current in-game effect text; choose upstream, retain Gu, or defer.</x:v>
      </x:c>
      <x:c r="G30" s="62" t="str"/>
      <x:c r="H30" s="62" t="str">
        <x:v>NOT_CHECKED</x:v>
      </x:c>
      <x:c r="I30" s="62" t="str"/>
      <x:c r="J30" s="62" t="str"/>
      <x:c r="K30" s="62" t="str"/>
      <x:c r="L30" s="62" t="str"/>
      <x:c r="M30" s="62" t="str"/>
      <x:c r="N30" s="62" t="str"/>
      <x:c r="O30" s="62" t="str"/>
      <x:c r="P30" s="62" t="str"/>
    </x:row>
    <x:row r="31">
      <x:c r="A31" s="31" t="str">
        <x:v>ARC-0034</x:v>
      </x:c>
      <x:c r="B31" s="31" t="str">
        <x:v>P0</x:v>
      </x:c>
      <x:c r="C31" s="31" t="str">
        <x:v>Arcane Camisado</x:v>
      </x:c>
      <x:c r="D31" s="31" t="str">
        <x:v>Arcane Camisado</x:v>
      </x:c>
      <x:c r="E31" s="31" t="str">
        <x:v>VALUE_MISMATCH</x:v>
      </x:c>
      <x:c r="F31" s="62" t="str">
        <x:v>Compare Gu and current in-game effect text; choose upstream, retain Gu, or defer.</x:v>
      </x:c>
      <x:c r="G31" s="62" t="str"/>
      <x:c r="H31" s="62" t="str">
        <x:v>NOT_CHECKED</x:v>
      </x:c>
      <x:c r="I31" s="62" t="str"/>
      <x:c r="J31" s="62" t="str"/>
      <x:c r="K31" s="62" t="str"/>
      <x:c r="L31" s="62" t="str"/>
      <x:c r="M31" s="62" t="str"/>
      <x:c r="N31" s="62" t="str"/>
      <x:c r="O31" s="62" t="str"/>
      <x:c r="P31" s="62" t="str"/>
    </x:row>
    <x:row r="32">
      <x:c r="A32" s="31" t="str">
        <x:v>ARC-0152</x:v>
      </x:c>
      <x:c r="B32" s="31" t="str">
        <x:v>P0</x:v>
      </x:c>
      <x:c r="C32" s="31" t="str">
        <x:v>Secondary Encumber</x:v>
      </x:c>
      <x:c r="D32" s="31" t="str">
        <x:v>Secondary Encumber</x:v>
      </x:c>
      <x:c r="E32" s="31" t="str">
        <x:v>VALUE_MISMATCH</x:v>
      </x:c>
      <x:c r="F32" s="62" t="str">
        <x:v>Compare Gu and current in-game effect text; choose upstream, retain Gu, or defer.</x:v>
      </x:c>
      <x:c r="G32" s="62" t="str"/>
      <x:c r="H32" s="62" t="str">
        <x:v>NOT_CHECKED</x:v>
      </x:c>
      <x:c r="I32" s="62" t="str"/>
      <x:c r="J32" s="62" t="str"/>
      <x:c r="K32" s="62" t="str"/>
      <x:c r="L32" s="62" t="str"/>
      <x:c r="M32" s="62" t="str"/>
      <x:c r="N32" s="62" t="str"/>
      <x:c r="O32" s="62" t="str"/>
      <x:c r="P32" s="62" t="str"/>
    </x:row>
    <x:row r="33">
      <x:c r="A33" s="31" t="str">
        <x:v>ARC-0164</x:v>
      </x:c>
      <x:c r="B33" s="31" t="str">
        <x:v>P0</x:v>
      </x:c>
      <x:c r="C33" s="31" t="str">
        <x:v>Theorem Infection</x:v>
      </x:c>
      <x:c r="D33" s="31" t="str">
        <x:v>Theorem Infection</x:v>
      </x:c>
      <x:c r="E33" s="31" t="str">
        <x:v>VALUE_MISMATCH</x:v>
      </x:c>
      <x:c r="F33" s="62" t="str">
        <x:v>Compare Gu and current in-game effect text; choose upstream, retain Gu, or defer.</x:v>
      </x:c>
      <x:c r="G33" s="62" t="str"/>
      <x:c r="H33" s="62" t="str">
        <x:v>NOT_CHECKED</x:v>
      </x:c>
      <x:c r="I33" s="62" t="str"/>
      <x:c r="J33" s="62" t="str"/>
      <x:c r="K33" s="62" t="str"/>
      <x:c r="L33" s="62" t="str"/>
      <x:c r="M33" s="62" t="str"/>
      <x:c r="N33" s="62" t="str"/>
      <x:c r="O33" s="62" t="str"/>
      <x:c r="P33" s="62" t="str"/>
    </x:row>
    <x:row r="34">
      <x:c r="A34" s="31" t="str">
        <x:v>ARC-0172</x:v>
      </x:c>
      <x:c r="B34" s="31" t="str">
        <x:v>P0</x:v>
      </x:c>
      <x:c r="C34" s="31" t="str">
        <x:v>Virtuos Surge</x:v>
      </x:c>
      <x:c r="D34" s="31" t="str">
        <x:v>Virtuos Surge</x:v>
      </x:c>
      <x:c r="E34" s="31" t="str">
        <x:v>VALUE_MISMATCH</x:v>
      </x:c>
      <x:c r="F34" s="62" t="str">
        <x:v>Verify maximum rank and rank selector text in-game before approving rank rows.</x:v>
      </x:c>
      <x:c r="G34" s="62" t="str"/>
      <x:c r="H34" s="62" t="str">
        <x:v>NOT_CHECKED</x:v>
      </x:c>
      <x:c r="I34" s="62" t="str"/>
      <x:c r="J34" s="62" t="str"/>
      <x:c r="K34" s="62" t="str"/>
      <x:c r="L34" s="62" t="str"/>
      <x:c r="M34" s="62" t="str"/>
      <x:c r="N34" s="62" t="str"/>
      <x:c r="O34" s="62" t="str"/>
      <x:c r="P34" s="62" t="str"/>
    </x:row>
    <x:row r="35">
      <x:c r="A35" s="32" t="str">
        <x:v>ARC-0174</x:v>
      </x:c>
      <x:c r="B35" s="32" t="str">
        <x:v>P0</x:v>
      </x:c>
      <x:c r="C35" s="32" t="str">
        <x:v>Virtuos Trojan</x:v>
      </x:c>
      <x:c r="D35" s="32" t="str">
        <x:v>Virtuos Trojan</x:v>
      </x:c>
      <x:c r="E35" s="32" t="str">
        <x:v>VALUE_MISMATCH</x:v>
      </x:c>
      <x:c r="F35" s="63" t="str">
        <x:v>Verify maximum rank and rank selector text in-game before approving rank rows.</x:v>
      </x:c>
      <x:c r="G35" s="63" t="str"/>
      <x:c r="H35" s="63" t="str">
        <x:v>NOT_CHECKED</x:v>
      </x:c>
      <x:c r="I35" s="63" t="str"/>
      <x:c r="J35" s="63" t="str"/>
      <x:c r="K35" s="63" t="str"/>
      <x:c r="L35" s="63" t="str"/>
      <x:c r="M35" s="63" t="str"/>
      <x:c r="N35" s="63" t="str"/>
      <x:c r="O35" s="63" t="str"/>
      <x:c r="P35" s="63" t="str"/>
    </x:row>
  </x:sheetData>
  <x:mergeCells>
    <x:mergeCell ref="A1:P2"/>
    <x:mergeCell ref="A3:P4"/>
  </x:mergeCells>
  <x:conditionalFormatting sqref="H8:H35">
    <x:cfRule type="containsText" dxfId="12" priority="1" operator="containsText" text="COMPLETE"/>
    <x:cfRule type="containsText" dxfId="13" priority="2" operator="containsText" text="OPEN"/>
    <x:cfRule type="containsText" dxfId="14" priority="3" operator="containsText" text="PENDING"/>
    <x:cfRule type="containsText" dxfId="15" priority="4" operator="containsText" text="NOT_STARTED"/>
  </x:conditionalFormatting>
  <x:dataValidations count="2">
    <x:dataValidation type="list" sqref="H8:H35">
      <x:formula1>"NOT_CHECKED,CHECKED,NOT_FOUND,NEEDS_GAMEPLAY_TEST,DEFERRED"</x:formula1>
    </x:dataValidation>
    <x:dataValidation type="list" sqref="J8:J35">
      <x:formula1>"YES,NO,UNCLEAR"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8ba50ba49a4e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54" hidden="0" customWidth="1"/>
    <x:col min="4" max="4" width="48" hidden="0" customWidth="1"/>
    <x:col min="5" max="5" width="16" hidden="0" customWidth="1"/>
    <x:col min="6" max="6" width="46" hidden="0" customWidth="1"/>
  </x:cols>
  <x:sheetData>
    <x:row r="1" ht="28" customHeight="1">
      <x:c r="A1" s="3" t="str">
        <x:v>OWNER POLICY DECISIONS</x:v>
      </x:c>
      <x:c r="B1" s="3" t="str">
        <x:v>OWNER POLICY DECISIONS</x:v>
      </x:c>
      <x:c r="C1" s="3" t="str">
        <x:v>OWNER POLICY DECISIONS</x:v>
      </x:c>
      <x:c r="D1" s="3" t="str">
        <x:v>OWNER POLICY DECISIONS</x:v>
      </x:c>
      <x:c r="E1" s="3" t="str">
        <x:v>OWNER POLICY DECISIONS</x:v>
      </x:c>
      <x:c r="F1" s="3" t="str">
        <x:v>OWNER POLICY DECISIONS</x:v>
      </x:c>
    </x:row>
    <x:row r="2" ht="28" customHeight="1">
      <x:c r="A2" s="3" t="str">
        <x:v>OWNER POLICY DECISIONS</x:v>
      </x:c>
      <x:c r="B2" s="3" t="str">
        <x:v>OWNER POLICY DECISIONS</x:v>
      </x:c>
      <x:c r="C2" s="3" t="str">
        <x:v>OWNER POLICY DECISIONS</x:v>
      </x:c>
      <x:c r="D2" s="3" t="str">
        <x:v>OWNER POLICY DECISIONS</x:v>
      </x:c>
      <x:c r="E2" s="3" t="str">
        <x:v>OWNER POLICY DECISIONS</x:v>
      </x:c>
      <x:c r="F2" s="3" t="str">
        <x:v>OWNER POLICY DECISIONS</x:v>
      </x:c>
    </x:row>
    <x:row r="3" ht="26" customHeight="1">
      <x:c r="A3" s="7" t="str">
        <x:v>These choices cannot be answered by the game or WFCD. Decide them before a promotion manifest is generated; the recommended default is deliberately conservative.</x:v>
      </x:c>
      <x:c r="B3" s="7" t="str">
        <x:v>These choices cannot be answered by the game or WFCD. Decide them before a promotion manifest is generated; the recommended default is deliberately conservative.</x:v>
      </x:c>
      <x:c r="C3" s="7" t="str">
        <x:v>These choices cannot be answered by the game or WFCD. Decide them before a promotion manifest is generated; the recommended default is deliberately conservative.</x:v>
      </x:c>
      <x:c r="D3" s="7" t="str">
        <x:v>These choices cannot be answered by the game or WFCD. Decide them before a promotion manifest is generated; the recommended default is deliberately conservative.</x:v>
      </x:c>
      <x:c r="E3" s="7" t="str">
        <x:v>These choices cannot be answered by the game or WFCD. Decide them before a promotion manifest is generated; the recommended default is deliberately conservative.</x:v>
      </x:c>
      <x:c r="F3" s="7" t="str">
        <x:v>These choices cannot be answered by the game or WFCD. Decide them before a promotion manifest is generated; the recommended default is deliberately conservative.</x:v>
      </x:c>
    </x:row>
    <x:row r="4" ht="26" customHeight="1">
      <x:c r="A4" s="7" t="str">
        <x:v>These choices cannot be answered by the game or WFCD. Decide them before a promotion manifest is generated; the recommended default is deliberately conservative.</x:v>
      </x:c>
      <x:c r="B4" s="7" t="str">
        <x:v>These choices cannot be answered by the game or WFCD. Decide them before a promotion manifest is generated; the recommended default is deliberately conservative.</x:v>
      </x:c>
      <x:c r="C4" s="7" t="str">
        <x:v>These choices cannot be answered by the game or WFCD. Decide them before a promotion manifest is generated; the recommended default is deliberately conservative.</x:v>
      </x:c>
      <x:c r="D4" s="7" t="str">
        <x:v>These choices cannot be answered by the game or WFCD. Decide them before a promotion manifest is generated; the recommended default is deliberately conservative.</x:v>
      </x:c>
      <x:c r="E4" s="7" t="str">
        <x:v>These choices cannot be answered by the game or WFCD. Decide them before a promotion manifest is generated; the recommended default is deliberately conservative.</x:v>
      </x:c>
      <x:c r="F4" s="7" t="str">
        <x:v>These choices cannot be answered by the game or WFCD. Decide them before a promotion manifest is generated; the recommended default is deliberately conservative.</x:v>
      </x:c>
    </x:row>
    <x:row r="7" ht="34" customHeight="1">
      <x:c r="A7" s="22" t="str">
        <x:v>Policy Area</x:v>
      </x:c>
      <x:c r="B7" s="23" t="str">
        <x:v>Decision Question</x:v>
      </x:c>
      <x:c r="C7" s="23" t="str">
        <x:v>Recommended Default</x:v>
      </x:c>
      <x:c r="D7" s="23" t="str">
        <x:v>Owner Decision</x:v>
      </x:c>
      <x:c r="E7" s="23" t="str">
        <x:v>Status</x:v>
      </x:c>
      <x:c r="F7" s="24" t="str">
        <x:v>Notes / Rationale</x:v>
      </x:c>
    </x:row>
    <x:row r="8">
      <x:c r="A8" s="30" t="str">
        <x:v>Stable identity</x:v>
      </x:c>
      <x:c r="B8" s="61" t="str">
        <x:v>May reviewed WFCD uniqueName become Gu's stable ID?</x:v>
      </x:c>
      <x:c r="C8" s="61" t="str">
        <x:v>Yes, only for approved one-to-one identities.</x:v>
      </x:c>
      <x:c r="D8" s="61" t="str"/>
      <x:c r="E8" s="61" t="str">
        <x:v>UNDECIDED</x:v>
      </x:c>
      <x:c r="F8" s="61" t="str"/>
    </x:row>
    <x:row r="9">
      <x:c r="A9" s="31" t="str">
        <x:v>Canonical names</x:v>
      </x:c>
      <x:c r="B9" s="62" t="str">
        <x:v>Which source controls the displayed canonical name?</x:v>
      </x:c>
      <x:c r="C9" s="62" t="str">
        <x:v>Retain Gu unless a spelling/rename is explicitly approved.</x:v>
      </x:c>
      <x:c r="D9" s="62" t="str"/>
      <x:c r="E9" s="62" t="str">
        <x:v>UNDECIDED</x:v>
      </x:c>
      <x:c r="F9" s="62" t="str"/>
    </x:row>
    <x:row r="10">
      <x:c r="A10" s="31" t="str">
        <x:v>Equipment type</x:v>
      </x:c>
      <x:c r="B10" s="62" t="str">
        <x:v>May WFCD type populate equipment_type?</x:v>
      </x:c>
      <x:c r="C10" s="62" t="str">
        <x:v>Yes; keep acquisition/family labels in subcategory.</x:v>
      </x:c>
      <x:c r="D10" s="62" t="str"/>
      <x:c r="E10" s="62" t="str">
        <x:v>UNDECIDED</x:v>
      </x:c>
      <x:c r="F10" s="62" t="str"/>
    </x:row>
    <x:row r="11">
      <x:c r="A11" s="31" t="str">
        <x:v>Rank authority</x:v>
      </x:c>
      <x:c r="B11" s="62" t="str">
        <x:v>Which source controls maximum rank and rank text?</x:v>
      </x:c>
      <x:c r="C11" s="62" t="str">
        <x:v>Use reviewed WFCD rank rows; retain overrides with evidence.</x:v>
      </x:c>
      <x:c r="D11" s="62" t="str"/>
      <x:c r="E11" s="62" t="str">
        <x:v>UNDECIDED</x:v>
      </x:c>
      <x:c r="F11" s="62" t="str"/>
    </x:row>
    <x:row r="12">
      <x:c r="A12" s="31" t="str">
        <x:v>Effect summaries</x:v>
      </x:c>
      <x:c r="B12" s="62" t="str">
        <x:v>Should effect_r5 be overwritten during first promotion?</x:v>
      </x:c>
      <x:c r="C12" s="62" t="str">
        <x:v>No; promote rank rows first and review structured effect semantics separately.</x:v>
      </x:c>
      <x:c r="D12" s="62" t="str"/>
      <x:c r="E12" s="62" t="str">
        <x:v>UNDECIDED</x:v>
      </x:c>
      <x:c r="F12" s="62" t="str"/>
    </x:row>
    <x:row r="13">
      <x:c r="A13" s="31" t="str">
        <x:v>Rarity</x:v>
      </x:c>
      <x:c r="B13" s="62" t="str">
        <x:v>How should missing or conflicting rarity be handled?</x:v>
      </x:c>
      <x:c r="C13" s="62" t="str">
        <x:v>Require direct evidence; never infer a missing rarity.</x:v>
      </x:c>
      <x:c r="D13" s="62" t="str"/>
      <x:c r="E13" s="62" t="str">
        <x:v>UNDECIDED</x:v>
      </x:c>
      <x:c r="F13" s="62" t="str"/>
    </x:row>
    <x:row r="14">
      <x:c r="A14" s="31" t="str">
        <x:v>Tradeability</x:v>
      </x:c>
      <x:c r="B14" s="62" t="str">
        <x:v>Which source controls tradeability?</x:v>
      </x:c>
      <x:c r="C14" s="62" t="str">
        <x:v>Promote only after spot-checking high-impact conflicts.</x:v>
      </x:c>
      <x:c r="D14" s="62" t="str"/>
      <x:c r="E14" s="62" t="str">
        <x:v>UNDECIDED</x:v>
      </x:c>
      <x:c r="F14" s="62" t="str"/>
    </x:row>
    <x:row r="15">
      <x:c r="A15" s="31" t="str">
        <x:v>Introduced update</x:v>
      </x:c>
      <x:c r="B15" s="62" t="str">
        <x:v>May WFCD introduced update populate provenance?</x:v>
      </x:c>
      <x:c r="C15" s="62" t="str">
        <x:v>Yes when present; null remains explicit when absent.</x:v>
      </x:c>
      <x:c r="D15" s="62" t="str"/>
      <x:c r="E15" s="62" t="str">
        <x:v>UNDECIDED</x:v>
      </x:c>
      <x:c r="F15" s="62" t="str"/>
    </x:row>
    <x:row r="16">
      <x:c r="A16" s="31" t="str">
        <x:v>Aliases</x:v>
      </x:c>
      <x:c r="B16" s="62" t="str">
        <x:v>How are spelling/rename aliases approved?</x:v>
      </x:c>
      <x:c r="C16" s="62" t="str">
        <x:v>Exact owner-approved mapping to one uniqueName; no fuzzy promotion.</x:v>
      </x:c>
      <x:c r="D16" s="62" t="str"/>
      <x:c r="E16" s="62" t="str">
        <x:v>UNDECIDED</x:v>
      </x:c>
      <x:c r="F16" s="62" t="str"/>
    </x:row>
    <x:row r="17">
      <x:c r="A17" s="31" t="str">
        <x:v>Deprecated rows</x:v>
      </x:c>
      <x:c r="B17" s="62" t="str">
        <x:v>How should obsolete but owned Gu entries be handled?</x:v>
      </x:c>
      <x:c r="C17" s="62" t="str">
        <x:v>Preserve arcane_id and ownership; consider is_active=false after review.</x:v>
      </x:c>
      <x:c r="D17" s="62" t="str"/>
      <x:c r="E17" s="62" t="str">
        <x:v>UNDECIDED</x:v>
      </x:c>
      <x:c r="F17" s="62" t="str"/>
    </x:row>
    <x:row r="18">
      <x:c r="A18" s="31" t="str">
        <x:v>Internal records</x:v>
      </x:c>
      <x:c r="B18" s="62" t="str">
        <x:v>How are non-player-facing upstream listener rows represented?</x:v>
      </x:c>
      <x:c r="C18" s="62" t="str">
        <x:v>Retain in staging; exclude from canonical unless explicitly modeled.</x:v>
      </x:c>
      <x:c r="D18" s="62" t="str"/>
      <x:c r="E18" s="62" t="str">
        <x:v>UNDECIDED</x:v>
      </x:c>
      <x:c r="F18" s="62" t="str"/>
    </x:row>
    <x:row r="19">
      <x:c r="A19" s="31" t="str">
        <x:v>Zid entries</x:v>
      </x:c>
      <x:c r="B19" s="62" t="str">
        <x:v>Do the six Zid records belong in this Arcane catalog?</x:v>
      </x:c>
      <x:c r="C19" s="62" t="str">
        <x:v>Verify family and equipment compatibility before retaining or relocating.</x:v>
      </x:c>
      <x:c r="D19" s="62" t="str"/>
      <x:c r="E19" s="62" t="str">
        <x:v>UNDECIDED</x:v>
      </x:c>
      <x:c r="F19" s="62" t="str"/>
    </x:row>
    <x:row r="20">
      <x:c r="A20" s="32" t="str">
        <x:v>Manual overrides</x:v>
      </x:c>
      <x:c r="B20" s="63" t="str">
        <x:v>How are Gu-authored exceptions preserved?</x:v>
      </x:c>
      <x:c r="C20" s="63" t="str">
        <x:v>Append-only override with reason, evidence, reviewer, and revision expiry.</x:v>
      </x:c>
      <x:c r="D20" s="63" t="str"/>
      <x:c r="E20" s="63" t="str">
        <x:v>UNDECIDED</x:v>
      </x:c>
      <x:c r="F20" s="63" t="str"/>
    </x:row>
  </x:sheetData>
  <x:mergeCells>
    <x:mergeCell ref="A1:F2"/>
    <x:mergeCell ref="A3:F4"/>
  </x:mergeCells>
  <x:conditionalFormatting sqref="E8:E20">
    <x:cfRule type="containsText" dxfId="16" priority="1" operator="containsText" text="COMPLETE"/>
    <x:cfRule type="containsText" dxfId="17" priority="2" operator="containsText" text="OPEN"/>
    <x:cfRule type="containsText" dxfId="18" priority="3" operator="containsText" text="PENDING"/>
    <x:cfRule type="containsText" dxfId="19" priority="4" operator="containsText" text="NOT_STARTED"/>
  </x:conditionalFormatting>
  <x:dataValidations count="1">
    <x:dataValidation type="list" sqref="E8:E20">
      <x:formula1>"UNDECIDED,DECIDED,DEFERRED"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78e446a1c346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6" hidden="0" customWidth="1"/>
    <x:col min="3" max="3" width="16" hidden="0" customWidth="1"/>
    <x:col min="4" max="4" width="70" hidden="0" customWidth="1"/>
  </x:cols>
  <x:sheetData>
    <x:row r="1" ht="28" customHeight="1">
      <x:c r="A1" s="3" t="str">
        <x:v>PROMOTION GATES</x:v>
      </x:c>
      <x:c r="B1" s="3" t="str">
        <x:v>PROMOTION GATES</x:v>
      </x:c>
      <x:c r="C1" s="3" t="str">
        <x:v>PROMOTION GATES</x:v>
      </x:c>
      <x:c r="D1" s="3" t="str">
        <x:v>PROMOTION GATES</x:v>
      </x:c>
    </x:row>
    <x:row r="2" ht="28" customHeight="1">
      <x:c r="A2" s="3" t="str">
        <x:v>PROMOTION GATES</x:v>
      </x:c>
      <x:c r="B2" s="3" t="str">
        <x:v>PROMOTION GATES</x:v>
      </x:c>
      <x:c r="C2" s="3" t="str">
        <x:v>PROMOTION GATES</x:v>
      </x:c>
      <x:c r="D2" s="3" t="str">
        <x:v>PROMOTION GATES</x:v>
      </x:c>
    </x:row>
    <x:row r="3" ht="26" customHeight="1">
      <x:c r="A3" s="7" t="str">
        <x:v>Canonical promotion remains blocked until every gate is complete. Gates 1, 2, 6, and 7 are already evidenced by the retained snapshot and successful replay.</x:v>
      </x:c>
      <x:c r="B3" s="7" t="str">
        <x:v>Canonical promotion remains blocked until every gate is complete. Gates 1, 2, 6, and 7 are already evidenced by the retained snapshot and successful replay.</x:v>
      </x:c>
      <x:c r="C3" s="7" t="str">
        <x:v>Canonical promotion remains blocked until every gate is complete. Gates 1, 2, 6, and 7 are already evidenced by the retained snapshot and successful replay.</x:v>
      </x:c>
      <x:c r="D3" s="7" t="str">
        <x:v>Canonical promotion remains blocked until every gate is complete. Gates 1, 2, 6, and 7 are already evidenced by the retained snapshot and successful replay.</x:v>
      </x:c>
    </x:row>
    <x:row r="4" ht="26" customHeight="1">
      <x:c r="A4" s="7" t="str">
        <x:v>Canonical promotion remains blocked until every gate is complete. Gates 1, 2, 6, and 7 are already evidenced by the retained snapshot and successful replay.</x:v>
      </x:c>
      <x:c r="B4" s="7" t="str">
        <x:v>Canonical promotion remains blocked until every gate is complete. Gates 1, 2, 6, and 7 are already evidenced by the retained snapshot and successful replay.</x:v>
      </x:c>
      <x:c r="C4" s="7" t="str">
        <x:v>Canonical promotion remains blocked until every gate is complete. Gates 1, 2, 6, and 7 are already evidenced by the retained snapshot and successful replay.</x:v>
      </x:c>
      <x:c r="D4" s="7" t="str">
        <x:v>Canonical promotion remains blocked until every gate is complete. Gates 1, 2, 6, and 7 are already evidenced by the retained snapshot and successful replay.</x:v>
      </x:c>
    </x:row>
    <x:row r="7" ht="34" customHeight="1">
      <x:c r="A7" s="22" t="str">
        <x:v>Gate</x:v>
      </x:c>
      <x:c r="B7" s="23" t="str">
        <x:v>Requirement</x:v>
      </x:c>
      <x:c r="C7" s="23" t="str">
        <x:v>Status</x:v>
      </x:c>
      <x:c r="D7" s="24" t="str">
        <x:v>Evidence / Next Action</x:v>
      </x:c>
    </x:row>
    <x:row r="8">
      <x:c r="A8" s="30" t="n">
        <x:v>1</x:v>
      </x:c>
      <x:c r="B8" s="61" t="str">
        <x:v>Exact source revision and SHA-256 retained</x:v>
      </x:c>
      <x:c r="C8" s="61" t="str">
        <x:v>COMPLETE</x:v>
      </x:c>
      <x:c r="D8" s="61" t="str">
        <x:v>Pinned commit and hash are recorded in the immutable snapshot.</x:v>
      </x:c>
    </x:row>
    <x:row r="9">
      <x:c r="A9" s="31" t="n">
        <x:v>2</x:v>
      </x:c>
      <x:c r="B9" s="62" t="str">
        <x:v>Raw and normalized counts reported separately</x:v>
      </x:c>
      <x:c r="C9" s="62" t="str">
        <x:v>COMPLETE</x:v>
      </x:c>
      <x:c r="D9" s="62" t="str">
        <x:v>172 raw and 172 normalized records.</x:v>
      </x:c>
    </x:row>
    <x:row r="10">
      <x:c r="A10" s="31" t="n">
        <x:v>3</x:v>
      </x:c>
      <x:c r="B10" s="62" t="str">
        <x:v>Repeated names and missing stable IDs are review-gated</x:v>
      </x:c>
      <x:c r="C10" s="62" t="str">
        <x:f>IF(COUNTIFS('Review Queue'!$D$8:$D$181,"MANUAL_REVIEW",'Review Queue'!$O$8:$O$181,"&lt;&gt;COMPLETE")+COUNTIFS('Review Queue'!$D$8:$D$181,"GU_MISSING",'Review Queue'!$O$8:$O$181,"&lt;&gt;COMPLETE")+COUNTIFS('Review Queue'!$D$8:$D$181,"GU_EXTRA",'Review Queue'!$O$8:$O$181,"&lt;&gt;COMPLETE")=0,"COMPLETE","OPEN")</x:f>
        <x:v>OPEN</x:v>
      </x:c>
      <x:c r="D10" s="62" t="str">
        <x:v>Arcane Steadfast and all identity exceptions must receive dispositions.</x:v>
      </x:c>
    </x:row>
    <x:row r="11">
      <x:c r="A11" s="31" t="n">
        <x:v>4</x:v>
      </x:c>
      <x:c r="B11" s="62" t="str">
        <x:v>Every current Gu Arcane has a disposition</x:v>
      </x:c>
      <x:c r="C11" s="62" t="str">
        <x:f>IF(COUNTIFS('Review Queue'!$F$8:$F$181,"&lt;&gt;",'Review Queue'!$O$8:$O$181,"&lt;&gt;COMPLETE")=0,"COMPLETE","OPEN")</x:f>
        <x:v>OPEN</x:v>
      </x:c>
      <x:c r="D11" s="62" t="str">
        <x:v>Driven by completed Review Queue rows with canonical IDs.</x:v>
      </x:c>
    </x:row>
    <x:row r="12">
      <x:c r="A12" s="31" t="n">
        <x:v>5</x:v>
      </x:c>
      <x:c r="B12" s="62" t="str">
        <x:v>Ownership and all three collection views regression-tested</x:v>
      </x:c>
      <x:c r="C12" s="62" t="str">
        <x:v>PENDING</x:v>
      </x:c>
      <x:c r="D12" s="62" t="str">
        <x:v>Run immediately before and after canonical promotion.</x:v>
      </x:c>
    </x:row>
    <x:row r="13">
      <x:c r="A13" s="31" t="n">
        <x:v>6</x:v>
      </x:c>
      <x:c r="B13" s="62" t="str">
        <x:v>Second execution produces the same payload and diff</x:v>
      </x:c>
      <x:c r="C13" s="62" t="str">
        <x:v>COMPLETE</x:v>
      </x:c>
      <x:c r="D13" s="62" t="str">
        <x:v>Live replay reused the same snapshot and reconciliation run IDs.</x:v>
      </x:c>
    </x:row>
    <x:row r="14">
      <x:c r="A14" s="31" t="n">
        <x:v>7</x:v>
      </x:c>
      <x:c r="B14" s="62" t="str">
        <x:v>No fuzzy match can reach canonical data</x:v>
      </x:c>
      <x:c r="C14" s="62" t="str">
        <x:v>COMPLETE</x:v>
      </x:c>
      <x:c r="D14" s="62" t="str">
        <x:v>Only stable ID, exact normalized name, or approved alias is allowed.</x:v>
      </x:c>
    </x:row>
    <x:row r="15">
      <x:c r="A15" s="32" t="n">
        <x:v>8</x:v>
      </x:c>
      <x:c r="B15" s="63" t="str">
        <x:v>Owner approves the promotion manifest and SQL</x:v>
      </x:c>
      <x:c r="C15" s="63" t="str">
        <x:v>PENDING</x:v>
      </x:c>
      <x:c r="D15" s="63" t="str">
        <x:v>Canonical promotion remains a separate manual approval boundary.</x:v>
      </x:c>
    </x:row>
  </x:sheetData>
  <x:mergeCells>
    <x:mergeCell ref="A1:D2"/>
    <x:mergeCell ref="A3:D4"/>
  </x:mergeCells>
  <x:conditionalFormatting sqref="C8:C15">
    <x:cfRule type="containsText" dxfId="20" priority="1" operator="containsText" text="COMPLETE"/>
    <x:cfRule type="containsText" dxfId="21" priority="2" operator="containsText" text="OPEN"/>
    <x:cfRule type="containsText" dxfId="22" priority="3" operator="containsText" text="PENDING"/>
    <x:cfRule type="containsText" dxfId="23" priority="4" operator="containsText" text="NOT_STARTED"/>
  </x:conditionalFormatting>
  <x:pageMargins left="0.7" right="0.7" top="0.75" bottom="0.75" header="0.3" footer="0.3"/>
  <x:tableParts count="1">
    <x:tablePart xmlns:r="http://schemas.openxmlformats.org/officeDocument/2006/relationships" r:id="R994c647d0f644c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2" hidden="0" customWidth="1"/>
    <x:col min="3" max="3" width="4" hidden="0" customWidth="1"/>
    <x:col min="4" max="4" width="66" hidden="0" customWidth="1"/>
    <x:col min="5" max="5" width="28" hidden="0" customWidth="1"/>
    <x:col min="6" max="6" width="48" hidden="0" customWidth="1"/>
  </x:cols>
  <x:sheetData>
    <x:row r="1" ht="28" customHeight="1">
      <x:c r="A1" s="3" t="str">
        <x:v>SOURCE &amp; AUDIT TRAIL</x:v>
      </x:c>
      <x:c r="B1" s="3" t="str">
        <x:v>SOURCE &amp; AUDIT TRAIL</x:v>
      </x:c>
      <x:c r="C1" s="3" t="str">
        <x:v>SOURCE &amp; AUDIT TRAIL</x:v>
      </x:c>
      <x:c r="D1" s="3" t="str">
        <x:v>SOURCE &amp; AUDIT TRAIL</x:v>
      </x:c>
      <x:c r="E1" s="3" t="str">
        <x:v>SOURCE &amp; AUDIT TRAIL</x:v>
      </x:c>
      <x:c r="F1" s="3" t="str">
        <x:v>SOURCE &amp; AUDIT TRAIL</x:v>
      </x:c>
    </x:row>
    <x:row r="2" ht="28" customHeight="1">
      <x:c r="A2" s="3" t="str">
        <x:v>SOURCE &amp; AUDIT TRAIL</x:v>
      </x:c>
      <x:c r="B2" s="3" t="str">
        <x:v>SOURCE &amp; AUDIT TRAIL</x:v>
      </x:c>
      <x:c r="C2" s="3" t="str">
        <x:v>SOURCE &amp; AUDIT TRAIL</x:v>
      </x:c>
      <x:c r="D2" s="3" t="str">
        <x:v>SOURCE &amp; AUDIT TRAIL</x:v>
      </x:c>
      <x:c r="E2" s="3" t="str">
        <x:v>SOURCE &amp; AUDIT TRAIL</x:v>
      </x:c>
      <x:c r="F2" s="3" t="str">
        <x:v>SOURCE &amp; AUDIT TRAIL</x:v>
      </x:c>
    </x:row>
    <x:row r="3" ht="26" customHeight="1">
      <x:c r="A3" s="7" t="str">
        <x:v>Immutable source identity, live staging identifiers, reconciliation totals, and normalization warnings used to generate this workbook.</x:v>
      </x:c>
      <x:c r="B3" s="7" t="str">
        <x:v>Immutable source identity, live staging identifiers, reconciliation totals, and normalization warnings used to generate this workbook.</x:v>
      </x:c>
      <x:c r="C3" s="7" t="str">
        <x:v>Immutable source identity, live staging identifiers, reconciliation totals, and normalization warnings used to generate this workbook.</x:v>
      </x:c>
      <x:c r="D3" s="7" t="str">
        <x:v>Immutable source identity, live staging identifiers, reconciliation totals, and normalization warnings used to generate this workbook.</x:v>
      </x:c>
      <x:c r="E3" s="7" t="str">
        <x:v>Immutable source identity, live staging identifiers, reconciliation totals, and normalization warnings used to generate this workbook.</x:v>
      </x:c>
      <x:c r="F3" s="7" t="str">
        <x:v>Immutable source identity, live staging identifiers, reconciliation totals, and normalization warnings used to generate this workbook.</x:v>
      </x:c>
    </x:row>
    <x:row r="4" ht="26" customHeight="1">
      <x:c r="A4" s="7" t="str">
        <x:v>Immutable source identity, live staging identifiers, reconciliation totals, and normalization warnings used to generate this workbook.</x:v>
      </x:c>
      <x:c r="B4" s="7" t="str">
        <x:v>Immutable source identity, live staging identifiers, reconciliation totals, and normalization warnings used to generate this workbook.</x:v>
      </x:c>
      <x:c r="C4" s="7" t="str">
        <x:v>Immutable source identity, live staging identifiers, reconciliation totals, and normalization warnings used to generate this workbook.</x:v>
      </x:c>
      <x:c r="D4" s="7" t="str">
        <x:v>Immutable source identity, live staging identifiers, reconciliation totals, and normalization warnings used to generate this workbook.</x:v>
      </x:c>
      <x:c r="E4" s="7" t="str">
        <x:v>Immutable source identity, live staging identifiers, reconciliation totals, and normalization warnings used to generate this workbook.</x:v>
      </x:c>
      <x:c r="F4" s="7" t="str">
        <x:v>Immutable source identity, live staging identifiers, reconciliation totals, and normalization warnings used to generate this workbook.</x:v>
      </x:c>
    </x:row>
    <x:row r="6" ht="34" customHeight="1">
      <x:c r="A6" s="22" t="str">
        <x:v>SOURCE FIELD</x:v>
      </x:c>
      <x:c r="B6" s="24" t="str">
        <x:v>VALUE</x:v>
      </x:c>
      <x:c r="D6" s="22" t="str">
        <x:v>WFCD uniqueName</x:v>
      </x:c>
      <x:c r="E6" s="23" t="str">
        <x:v>Display Name</x:v>
      </x:c>
      <x:c r="F6" s="24" t="str">
        <x:v>Validation Warning</x:v>
      </x:c>
    </x:row>
    <x:row r="7">
      <x:c r="A7" s="30" t="str">
        <x:v>Dataset</x:v>
      </x:c>
      <x:c r="B7" s="61" t="str">
        <x:v>arcanes</x:v>
      </x:c>
      <x:c r="D7" s="61" t="str">
        <x:v>/Lotus/Upgrades/CosmeticEnhancers/Defensive/PunctureProcResist</x:v>
      </x:c>
      <x:c r="E7" s="61" t="str">
        <x:v>Arcane Defense</x:v>
      </x:c>
      <x:c r="F7" s="61" t="str">
        <x:v>MISSING_RARITY: Upstream rarity is missing.</x:v>
      </x:c>
    </x:row>
    <x:row r="8">
      <x:c r="A8" s="31" t="str">
        <x:v>Source</x:v>
      </x:c>
      <x:c r="B8" s="62" t="str">
        <x:v>WFCD/warframe-items</x:v>
      </x:c>
      <x:c r="D8" s="62" t="str">
        <x:v>/Lotus/Upgrades/CosmeticEnhancers/Defensive/PoisonProcResist</x:v>
      </x:c>
      <x:c r="E8" s="62" t="str">
        <x:v>Arcane Detoxifier</x:v>
      </x:c>
      <x:c r="F8" s="62" t="str">
        <x:v>MISSING_RARITY: Upstream rarity is missing.</x:v>
      </x:c>
    </x:row>
    <x:row r="9">
      <x:c r="A9" s="31" t="str">
        <x:v>Pinned URL</x:v>
      </x:c>
      <x:c r="B9" s="62" t="str">
        <x:v>https://raw.githubusercontent.com/WFCD/warframe-items/f7c69c0786611df81214cabf588160d7af9cc80c/data/json/Arcanes.json</x:v>
      </x:c>
      <x:c r="D9" s="62" t="str">
        <x:v>/Lotus/Upgrades/CosmeticEnhancers/Defensive/GasProcResist</x:v>
      </x:c>
      <x:c r="E9" s="62" t="str">
        <x:v>Arcane Liquid</x:v>
      </x:c>
      <x:c r="F9" s="62" t="str">
        <x:v>MISSING_RARITY: Upstream rarity is missing.</x:v>
      </x:c>
    </x:row>
    <x:row r="10">
      <x:c r="A10" s="31" t="str">
        <x:v>Git revision</x:v>
      </x:c>
      <x:c r="B10" s="62" t="str">
        <x:v>f7c69c0786611df81214cabf588160d7af9cc80c</x:v>
      </x:c>
      <x:c r="D10" s="62" t="str">
        <x:v>/Lotus/Upgrades/CosmeticEnhancers/Utility/NoCostCastChanceAbility1Listener</x:v>
      </x:c>
      <x:c r="E10" s="62" t="str">
        <x:v>Arcane Steadfast</x:v>
      </x:c>
      <x:c r="F10" s="62" t="str">
        <x:v>MISSING_LEVEL_STATS: Upstream record has no levelStats array.</x:v>
      </x:c>
    </x:row>
    <x:row r="11">
      <x:c r="A11" s="31" t="str">
        <x:v>Commit date</x:v>
      </x:c>
      <x:c r="B11" s="62" t="str">
        <x:v>2026-08-29 23:48:27 UTC</x:v>
      </x:c>
      <x:c r="D11" s="62" t="str">
        <x:v>/Lotus/Upgrades/CosmeticEnhancers/Utility/NoCostCastChanceAbility2Listener</x:v>
      </x:c>
      <x:c r="E11" s="62" t="str">
        <x:v>Arcane Steadfast</x:v>
      </x:c>
      <x:c r="F11" s="62" t="str">
        <x:v>MISSING_LEVEL_STATS: Upstream record has no levelStats array.</x:v>
      </x:c>
    </x:row>
    <x:row r="12">
      <x:c r="A12" s="31" t="str">
        <x:v>Game version</x:v>
      </x:c>
      <x:c r="B12" s="62" t="str">
        <x:v>43.5.4</x:v>
      </x:c>
      <x:c r="D12" s="62" t="str">
        <x:v>/Lotus/Upgrades/CosmeticEnhancers/Utility/NoCostCastChanceAbility3Listener</x:v>
      </x:c>
      <x:c r="E12" s="62" t="str">
        <x:v>Arcane Steadfast</x:v>
      </x:c>
      <x:c r="F12" s="62" t="str">
        <x:v>MISSING_LEVEL_STATS: Upstream record has no levelStats array.</x:v>
      </x:c>
    </x:row>
    <x:row r="13">
      <x:c r="A13" s="31" t="str">
        <x:v>Payload SHA-256</x:v>
      </x:c>
      <x:c r="B13" s="62" t="str">
        <x:v>c29815afb6ed6d308227931aa62541e4172fa01c1be72fa2749063e5871996a0</x:v>
      </x:c>
      <x:c r="D13" s="62" t="str">
        <x:v>/Lotus/Upgrades/CosmeticEnhancers/Utility/NoCostCastChanceAbility4Listener</x:v>
      </x:c>
      <x:c r="E13" s="62" t="str">
        <x:v>Arcane Steadfast</x:v>
      </x:c>
      <x:c r="F13" s="62" t="str">
        <x:v>MISSING_LEVEL_STATS: Upstream record has no levelStats array.</x:v>
      </x:c>
    </x:row>
    <x:row r="14">
      <x:c r="A14" s="31" t="str">
        <x:v>Payload bytes</x:v>
      </x:c>
      <x:c r="B14" s="62" t="n">
        <x:v>303243</x:v>
      </x:c>
      <x:c r="D14" s="63" t="str">
        <x:v>/Lotus/Upgrades/CosmeticEnhancers/Utility/SlowerBleedOutOnPredeath</x:v>
      </x:c>
      <x:c r="E14" s="63" t="str">
        <x:v>Arcane Survival</x:v>
      </x:c>
      <x:c r="F14" s="63" t="str">
        <x:v>MISSING_RARITY: Upstream rarity is missing.</x:v>
      </x:c>
    </x:row>
    <x:row r="15">
      <x:c r="A15" s="31" t="str">
        <x:v>Raw records</x:v>
      </x:c>
      <x:c r="B15" s="62" t="n">
        <x:v>172</x:v>
      </x:c>
    </x:row>
    <x:row r="16">
      <x:c r="A16" s="31" t="str">
        <x:v>Normalized records</x:v>
      </x:c>
      <x:c r="B16" s="62" t="n">
        <x:v>172</x:v>
      </x:c>
    </x:row>
    <x:row r="17">
      <x:c r="A17" s="31" t="str">
        <x:v>Canonical rows</x:v>
      </x:c>
      <x:c r="B17" s="62" t="n">
        <x:v>161</x:v>
      </x:c>
    </x:row>
    <x:row r="18">
      <x:c r="A18" s="31" t="str">
        <x:v>Reconciliation items</x:v>
      </x:c>
      <x:c r="B18" s="62" t="n">
        <x:v>174</x:v>
      </x:c>
    </x:row>
    <x:row r="19">
      <x:c r="A19" s="31" t="str">
        <x:v>Live snapshot ID</x:v>
      </x:c>
      <x:c r="B19" s="62" t="str">
        <x:v>278b814e-b64d-4bc9-bf09-77847c7f898e</x:v>
      </x:c>
    </x:row>
    <x:row r="20">
      <x:c r="A20" s="31" t="str">
        <x:v>Live reconciliation run ID</x:v>
      </x:c>
      <x:c r="B20" s="62" t="str">
        <x:v>f40d0d19-c224-47f8-9ef2-c225f42e91d0</x:v>
      </x:c>
    </x:row>
    <x:row r="21">
      <x:c r="A21" s="32" t="str">
        <x:v>Canonical writes</x:v>
      </x:c>
      <x:c r="B21" s="63" t="n">
        <x:v>0</x:v>
      </x:c>
    </x:row>
  </x:sheetData>
  <x:mergeCells>
    <x:mergeCell ref="A1:F2"/>
    <x:mergeCell ref="A3:F4"/>
  </x:mergeCells>
  <x:pageMargins left="0.7" right="0.7" top="0.75" bottom="0.75" header="0.3" footer="0.3"/>
</x:worksheet>
</file>